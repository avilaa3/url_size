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braham/Downloads/url-size-checker/"/>
    </mc:Choice>
  </mc:AlternateContent>
  <xr:revisionPtr revIDLastSave="0" documentId="13_ncr:1_{EA4DD279-80D4-2546-AFB0-EE718483F14B}" xr6:coauthVersionLast="47" xr6:coauthVersionMax="47" xr10:uidLastSave="{00000000-0000-0000-0000-000000000000}"/>
  <bookViews>
    <workbookView xWindow="14220" yWindow="-21100" windowWidth="38400" windowHeight="21100" activeTab="1" xr2:uid="{48EBFC34-5549-3348-AF12-093E532E957D}"/>
  </bookViews>
  <sheets>
    <sheet name="Sheet2" sheetId="3" state="hidden" r:id="rId1"/>
    <sheet name="url_sizes" sheetId="1" r:id="rId2"/>
  </sheets>
  <definedNames>
    <definedName name="_xlnm._FilterDatabase" localSheetId="0" hidden="1">Sheet2!$W$125:$X$125</definedName>
    <definedName name="_xlnm._FilterDatabase" localSheetId="1" hidden="1">url_sizes!$B$1:$D$146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6" i="1" l="1"/>
  <c r="P145" i="1"/>
  <c r="P144" i="1"/>
  <c r="P143" i="1"/>
  <c r="P141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3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7" i="1"/>
  <c r="O46" i="1"/>
  <c r="O45" i="1"/>
  <c r="O43" i="1"/>
  <c r="O42" i="1"/>
  <c r="O39" i="1"/>
  <c r="O38" i="1"/>
  <c r="O37" i="1"/>
  <c r="O36" i="1"/>
  <c r="O35" i="1"/>
  <c r="O34" i="1"/>
  <c r="O32" i="1"/>
  <c r="O31" i="1"/>
  <c r="O30" i="1"/>
  <c r="O29" i="1"/>
  <c r="O28" i="1"/>
  <c r="O27" i="1"/>
  <c r="O26" i="1"/>
  <c r="O23" i="1"/>
  <c r="O22" i="1"/>
  <c r="O21" i="1"/>
  <c r="O20" i="1"/>
  <c r="O19" i="1"/>
  <c r="O17" i="1"/>
  <c r="O16" i="1"/>
  <c r="O13" i="1"/>
  <c r="O12" i="1"/>
  <c r="O11" i="1"/>
  <c r="O10" i="1"/>
  <c r="O8" i="1"/>
  <c r="O7" i="1"/>
  <c r="O6" i="1"/>
  <c r="O5" i="1"/>
  <c r="O4" i="1"/>
  <c r="O3" i="1"/>
  <c r="O2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2" i="1"/>
  <c r="N41" i="1"/>
  <c r="N40" i="1"/>
  <c r="N146" i="1"/>
  <c r="N145" i="1"/>
  <c r="N144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5" i="1"/>
  <c r="N14" i="1"/>
  <c r="N13" i="1"/>
  <c r="N12" i="1"/>
  <c r="N11" i="1"/>
  <c r="N10" i="1"/>
  <c r="N9" i="1"/>
  <c r="N8" i="1"/>
  <c r="N6" i="1"/>
  <c r="N5" i="1"/>
  <c r="N4" i="1"/>
  <c r="N3" i="1"/>
  <c r="N2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L23" i="1"/>
</calcChain>
</file>

<file path=xl/sharedStrings.xml><?xml version="1.0" encoding="utf-8"?>
<sst xmlns="http://schemas.openxmlformats.org/spreadsheetml/2006/main" count="589" uniqueCount="357">
  <si>
    <t>The size of https://umamexico.com/modelo-educativo/</t>
  </si>
  <si>
    <t>The size of https://umamexico.com/nuestro-campus/</t>
  </si>
  <si>
    <t>The size of https://umamexico.com/licenciaturas/</t>
  </si>
  <si>
    <t>The size of https://umamexico.com/campus-uma/</t>
  </si>
  <si>
    <t>The size of https://umamexico.com/tienda/restauracion-ecosistemica/</t>
  </si>
  <si>
    <t>The size of https://umamexico.com/mirada-apreciativa-el-secreto-para-los-proyectos-socioambientales/</t>
  </si>
  <si>
    <t>The size of https://umamexico.com/tienda/restauracion-de-ecosistemas-en-zonas-urbanas/</t>
  </si>
  <si>
    <t>The size of https://umamexico.com/premios-y-participaciones/</t>
  </si>
  <si>
    <t>The size of https://umamexico.com/comunidad-uma/</t>
  </si>
  <si>
    <t>The size of https://umamexico.com/docentes-y-asesores/</t>
  </si>
  <si>
    <t>The size of https://umamexico.com/contacto/</t>
  </si>
  <si>
    <t>The size of https://umamexico.com/tienda/herbolaria-y-cosmetica-natural/</t>
  </si>
  <si>
    <t>The size of https://umamexico.com/tienda/cumplimiento-empresarial-de-la-normatividad-ambiental/</t>
  </si>
  <si>
    <t>The size of https://umamexico.com/tienda/arquitectura-bioclimatica/</t>
  </si>
  <si>
    <t>The size of https://umamexico.com/carrito/</t>
  </si>
  <si>
    <t>The size of https://umamexico.com/tienda/manejo-integral-del-agua/</t>
  </si>
  <si>
    <t>The size of https://umamexico.com/equipouma/</t>
  </si>
  <si>
    <t>The size of https://umamexico.com/especialidades/</t>
  </si>
  <si>
    <t>The size of https://umamexico.com/prensa-y-entrevistas/</t>
  </si>
  <si>
    <t>The size of https://umamexico.com/egresados-cambiando-al-mundo/</t>
  </si>
  <si>
    <t>The size of https://umamexico.com/maestria-en-proyectos-socioambientales/</t>
  </si>
  <si>
    <t>The size of https://umamexico.com/tienda/impacto-ambiental/</t>
  </si>
  <si>
    <t>The size of https://umamexico.com/tienda/construccion-con-tierra-en-entornos-urbanos/</t>
  </si>
  <si>
    <t>The size of https://umamexico.com/cursos/</t>
  </si>
  <si>
    <t>The size of https://umamexico.com/videos-experiencias-equipo-uma/</t>
  </si>
  <si>
    <t>The size of https://umamexico.com/revista-umana/</t>
  </si>
  <si>
    <t>The size of https://umamexico.com/maestria-en-agroecologia-y-sistemas-alimentarios-regenerativos/</t>
  </si>
  <si>
    <t>The size of https://umamexico.com/responsabilidad-ambiental-tipos-y-alcances-2/</t>
  </si>
  <si>
    <t>The size of https://umamexico.com/blog/</t>
  </si>
  <si>
    <t>The size of https://umamexico.com/incendios-forestales/</t>
  </si>
  <si>
    <t>The size of https://umamexico.com/tienda/apicultura-y-meliponicultura/</t>
  </si>
  <si>
    <t>The size of https://umamexico.com/la-coevolucion-y-mi-experiencia-al-conocer-este-concepto-en-la-universidad-del-medio-ambiente/</t>
  </si>
  <si>
    <t>The size of https://umamexico.com/registro-examen-de-admision-lepsa/</t>
  </si>
  <si>
    <t>The size of https://umamexico.com/alianzas/</t>
  </si>
  <si>
    <t>The size of https://umamexico.com/maestria-en-derecho-ambiental-y-politica-publica/</t>
  </si>
  <si>
    <t>The size of https://umamexico.com/comunidad-proyectos/</t>
  </si>
  <si>
    <t>The size of https://umamexico.com/tienda/evaluacion-sistemica-de-proyectos/</t>
  </si>
  <si>
    <t>The size of https://umamexico.com/maestria-en-arquitectura-diseno-y-construccion-sostenible/</t>
  </si>
  <si>
    <t>The size of https://umamexico.com/tienda/economia-circular/</t>
  </si>
  <si>
    <t>The size of https://umamexico.com/consultoria/</t>
  </si>
  <si>
    <t>The size of https://umamexico.com/tienda/incidencia-en-conflictos-socioambientales/</t>
  </si>
  <si>
    <t>The size of https://umamexico.com/tienda/finanzas-sustentables/</t>
  </si>
  <si>
    <t>The size of https://umamexico.com/maestria-en-innovacion-educativa-para-la-sostenibilidad/</t>
  </si>
  <si>
    <t>The size of https://umamexico.com/sesiones-informativas/</t>
  </si>
  <si>
    <t>The size of https://umamexico.com/maestria-en-administracion-de-empresas-socioambientales-green-mba/</t>
  </si>
  <si>
    <t>The size of https://umamexico.com/tienda/sociocracia-gobernanza-tan-afectiva-como-efectiva/</t>
  </si>
  <si>
    <t>The size of https://umamexico.com/que-es-la-uma/</t>
  </si>
  <si>
    <t>The size of https://umamexico.com/maestrias/</t>
  </si>
  <si>
    <t>The size of https://umamexico.com/home/</t>
  </si>
  <si>
    <t>The size of https://umamexico.com/team/magnolia-magos/</t>
  </si>
  <si>
    <t>The size of https://umamexico.com/team/federico-llamas-2/</t>
  </si>
  <si>
    <t>The size of https://umamexico.com/team/alejandra-ortiz/</t>
  </si>
  <si>
    <t>The size of https://umamexico.com/team/maria-fernanda-zuniga/</t>
  </si>
  <si>
    <t>The size of https://umamexico.com/team/raul-montiel-calderon/</t>
  </si>
  <si>
    <t>The size of https://umamexico.com/team/ricardo-mansilla-sanchez/</t>
  </si>
  <si>
    <t>The size of https://umamexico.com/team/valentina-abalzati/</t>
  </si>
  <si>
    <t>The size of https://umamexico.com/team/santiago-carsolio/</t>
  </si>
  <si>
    <t>The size of https://umamexico.com/team/francisco-bonilla-2/</t>
  </si>
  <si>
    <t>The size of https://umamexico.com/team/georgina-ramirez/</t>
  </si>
  <si>
    <t>The size of https://umamexico.com/team/fernando-cuauhtli-barroso-calderon/</t>
  </si>
  <si>
    <t>The size of https://umamexico.com/team/elis-monroy-garcia-2/</t>
  </si>
  <si>
    <t>The size of https://umamexico.com/team/daniela-dorantes-2/</t>
  </si>
  <si>
    <t>The size of https://umamexico.com/team/juan-ignacio-hernandez-pozo/</t>
  </si>
  <si>
    <t>The size of https://umamexico.com/team/nane-wenhammar/</t>
  </si>
  <si>
    <t>The size of https://umamexico.com/team/alejandro-cruz-torres/</t>
  </si>
  <si>
    <t>The size of https://umamexico.com/solicitar-informacion-licenciaturas/</t>
  </si>
  <si>
    <t>The size of https://umamexico.com/team/gloria-quintanilla/</t>
  </si>
  <si>
    <t>The size of https://umamexico.com/team/annabel-membrillo-2/</t>
  </si>
  <si>
    <t>The size of https://umamexico.com/team/alfonso-diaz-2/</t>
  </si>
  <si>
    <t>The size of https://umamexico.com/team/flor-de-maria-curiel/</t>
  </si>
  <si>
    <t>The size of https://umamexico.com/team/rodrigo-maroto-2/</t>
  </si>
  <si>
    <t>The size of https://umamexico.com/team/ana-lucia-castano/</t>
  </si>
  <si>
    <t>The size of https://umamexico.com/team/gabriel-garcia-jolly/</t>
  </si>
  <si>
    <t>The size of https://umamexico.com/team/mariana-quiroga-fernandez/</t>
  </si>
  <si>
    <t>The size of https://umamexico.com/team/karina-gutierrez-2/</t>
  </si>
  <si>
    <t>The size of https://umamexico.com/team/jimena-mejia-aleman/</t>
  </si>
  <si>
    <t>The size of https://umamexico.com/team/ana-carla-velasco-agis/</t>
  </si>
  <si>
    <t>The size of https://umamexico.com/team/edgar-rodriguez-lora/</t>
  </si>
  <si>
    <t>The size of https://umamexico.com/team/conrado-garcia-madrid-2/</t>
  </si>
  <si>
    <t>The size of https://umamexico.com/team/monica-carreno/</t>
  </si>
  <si>
    <t>The size of https://umamexico.com/team/eunice-veliz/</t>
  </si>
  <si>
    <t>The size of https://umamexico.com/team/sofia-zorrilla/</t>
  </si>
  <si>
    <t>The size of https://umamexico.com/team/victoria-haro-3/</t>
  </si>
  <si>
    <t>The size of https://umamexico.com/team/iris-ascencio-perez/</t>
  </si>
  <si>
    <t>The size of https://umamexico.com/team/fernando-cordova/</t>
  </si>
  <si>
    <t>The size of https://umamexico.com/extension-universitaria/</t>
  </si>
  <si>
    <t>The size of https://umamexico.com/solicitar-informacion-especialidades/</t>
  </si>
  <si>
    <t>The size of https://umamexico.com/team/benjamin-ortiz-espejel/</t>
  </si>
  <si>
    <t>The size of https://umamexico.com/product-category/especialidad/</t>
  </si>
  <si>
    <t>The size of https://umamexico.com/team/edith-perez-2/</t>
  </si>
  <si>
    <t>The size of https://umamexico.com/team/gerardo-tapia/</t>
  </si>
  <si>
    <t>The size of https://umamexico.com/team/fulvio-gioanetto/</t>
  </si>
  <si>
    <t>The size of https://umamexico.com/category/turismo-sostenible/</t>
  </si>
  <si>
    <t>The size of https://umamexico.com/category/uma/</t>
  </si>
  <si>
    <t>The size of https://umamexico.com/category/innovacion-educativa/</t>
  </si>
  <si>
    <t>The size of https://umamexico.com/category/administracion-de-empresas-socio-ambientales/</t>
  </si>
  <si>
    <t>The size of https://umamexico.com/category/proyectos-socioambientales/</t>
  </si>
  <si>
    <t>The size of https://umamexico.com/category/arquitectura-y-construccion-sustentable/</t>
  </si>
  <si>
    <t>The size of https://umamexico.com/category/derecho-ambiental-y-politica-publica/</t>
  </si>
  <si>
    <t>The size of https://umamexico.com/team/ariane-laure-assemat/</t>
  </si>
  <si>
    <t>The size of https://umamexico.com/team/oscar-hagerman/</t>
  </si>
  <si>
    <t>The size of https://umamexico.com/team/ana-elena-fernandez/</t>
  </si>
  <si>
    <t>The size of https://umamexico.com/team/conrado-garcia/</t>
  </si>
  <si>
    <t>The size of https://umamexico.com/team/alejandro-guevara/</t>
  </si>
  <si>
    <t>The size of https://umamexico.com/team/isabel-bueno/</t>
  </si>
  <si>
    <t>The size of https://umamexico.com/team/paloma-caramazana/</t>
  </si>
  <si>
    <t>The size of https://umamexico.com/team/daniela-dorantes/</t>
  </si>
  <si>
    <t>The size of https://umamexico.com/team/rodrigo-gonzalez/</t>
  </si>
  <si>
    <t>The size of https://umamexico.com/team/silvia-garcia/</t>
  </si>
  <si>
    <t>The size of https://umamexico.com/team/hernan-hernandez/</t>
  </si>
  <si>
    <t>The size of https://umamexico.com/team/adriana-ruiz-almeida/</t>
  </si>
  <si>
    <t>The size of https://umamexico.com/team/jesus-hernandez/</t>
  </si>
  <si>
    <t>The size of https://umamexico.com/team/benjamin-berlanga/</t>
  </si>
  <si>
    <t>The size of https://umamexico.com/team/hector-castanon/</t>
  </si>
  <si>
    <t>The size of https://umamexico.com/team/alejo-heymo/</t>
  </si>
  <si>
    <t>The size of https://umamexico.com/team/carlos-ruiz-galindo/</t>
  </si>
  <si>
    <t>The size of https://umamexico.com/team/karina-gutierrez/</t>
  </si>
  <si>
    <t>The size of https://umamexico.com/team/daniel-hernandez/</t>
  </si>
  <si>
    <t>The size of https://umamexico.com/team/lourdes-casillas/</t>
  </si>
  <si>
    <t>The size of https://umamexico.com/team/priscila-alaniz/</t>
  </si>
  <si>
    <t>The size of https://umamexico.com/team/andreaa-dani/</t>
  </si>
  <si>
    <t>The size of https://umamexico.com/team/hector-ceballos/</t>
  </si>
  <si>
    <t>The size of https://umamexico.com/team/juan-pablo-chargoy/</t>
  </si>
  <si>
    <t>The size of https://umamexico.com/team/vicente-ferreyra/</t>
  </si>
  <si>
    <t>The size of https://umamexico.com/team/dan-fleitman/</t>
  </si>
  <si>
    <t>The size of https://umamexico.com/team/h-gerardo-ibarra/</t>
  </si>
  <si>
    <t>The size of https://umamexico.com/team/francisco-bonilla/</t>
  </si>
  <si>
    <t>The size of https://umamexico.com/team/vanessa-armendariz/</t>
  </si>
  <si>
    <t>The size of https://umamexico.com/team/vianney-jimenez/</t>
  </si>
  <si>
    <t>The size of https://umamexico.com/team/francisco-javier-arroyo/</t>
  </si>
  <si>
    <t>The size of https://umamexico.com/team/victoria-haro/</t>
  </si>
  <si>
    <t>The size of https://umamexico.com/team/alfonso-diaz/</t>
  </si>
  <si>
    <t>The size of https://umamexico.com/team/jesica-amescua/</t>
  </si>
  <si>
    <t>The size of https://umamexico.com/team/santiago-aguilar/</t>
  </si>
  <si>
    <t>The size of https://umamexico.com/team/valerie-auvinet-briulet/</t>
  </si>
  <si>
    <t>The size of https://umamexico.com/team/ana-lorena-gurza/</t>
  </si>
  <si>
    <t>The size of https://umamexico.com/comunidad-docentes/</t>
  </si>
  <si>
    <t>The size of https://umamexico.com/product-category/talleres-y-diplomados/</t>
  </si>
  <si>
    <t>The size of https://umamexico.com/tienda/desarrollo-de-habilidades-cognitivas-para-el-aprendizaje/</t>
  </si>
  <si>
    <t>The size of https://umamexico.com/product-category/diplomado-semipresencial/</t>
  </si>
  <si>
    <t>The size of https://umamexico.com/tienda/arquitectura-bioclimatica-diseno-nuevo/</t>
  </si>
  <si>
    <t>The size of https://umamexico.com/category/radio-uma/</t>
  </si>
  <si>
    <t>The size of https://umamexico.com/category/agroecologia/</t>
  </si>
  <si>
    <t>URL</t>
  </si>
  <si>
    <t>The size of https://umamexico.com</t>
  </si>
  <si>
    <t>The size of https://umamexico.com/comunidad-estudiantes-y-egresados/</t>
  </si>
  <si>
    <t>Maestría</t>
  </si>
  <si>
    <t>Licenciatura</t>
  </si>
  <si>
    <t>Especialidades</t>
  </si>
  <si>
    <t>Restauración Ecosistémica</t>
  </si>
  <si>
    <t>Evaluación Sistémica de Proyectos</t>
  </si>
  <si>
    <t>Incidencia en Conflictos Socioambientales</t>
  </si>
  <si>
    <t>Arquitectura Bioclimática</t>
  </si>
  <si>
    <t>Talleres y Diplomados</t>
  </si>
  <si>
    <t>Construcción con tierra en entornos urbanos</t>
  </si>
  <si>
    <t>Blog</t>
  </si>
  <si>
    <t>Blogs</t>
  </si>
  <si>
    <t>Economía Circular</t>
  </si>
  <si>
    <t>Sociocracia</t>
  </si>
  <si>
    <t>Manejo Integral del Agua</t>
  </si>
  <si>
    <t>Finanzas Sustentables</t>
  </si>
  <si>
    <t>Herbolaria y Cosmética Natural</t>
  </si>
  <si>
    <t>Apicultura y Meliponicultura</t>
  </si>
  <si>
    <t>Impacto Ambiental</t>
  </si>
  <si>
    <t>Cumplimiento Empresarial de la Normatividad Ambiental</t>
  </si>
  <si>
    <t>Restauración de Ecosistemas en Zonas Urbanas</t>
  </si>
  <si>
    <t>Categoría</t>
  </si>
  <si>
    <t>Other</t>
  </si>
  <si>
    <t>https://umamexico.com/product-category/talleres-y-diplomados/</t>
  </si>
  <si>
    <t>Size in bytes</t>
  </si>
  <si>
    <t>Grand Total</t>
  </si>
  <si>
    <t>Sum of Size in bytes</t>
  </si>
  <si>
    <t>Row Labels</t>
  </si>
  <si>
    <t>Tamaño en bytes</t>
  </si>
  <si>
    <t>https://umamexico.com/comunidad-estudiantes-y-egresados/</t>
  </si>
  <si>
    <t>https://umamexico.com/especialidades/</t>
  </si>
  <si>
    <t>https://umamexico.com/team/edith-perez-2/</t>
  </si>
  <si>
    <t>https://umamexico.com/prensa-y-entrevistas/</t>
  </si>
  <si>
    <t>https://umamexico.com/team/gerardo-tapia/</t>
  </si>
  <si>
    <t>https://umamexico.com/docentes-y-asesores/</t>
  </si>
  <si>
    <t>https://umamexico.com/team/sofia-zorrilla/</t>
  </si>
  <si>
    <t>https://umamexico.com/tienda/restauracion-de-ecosistemas-en-zonas-urbanas/</t>
  </si>
  <si>
    <t>https://umamexico.com/team/conrado-garcia-madrid-2/</t>
  </si>
  <si>
    <t>https://umamexico.com/tienda/restauracion-ecosistemica/</t>
  </si>
  <si>
    <t>https://umamexico.com/team/ana-carla-velasco-agis/</t>
  </si>
  <si>
    <t>https://umamexico.com/equipouma/</t>
  </si>
  <si>
    <t>https://umamexico.com/product-category/especialidad/</t>
  </si>
  <si>
    <t>https://umamexico.com/maestria-en-proyectos-socioambientales/</t>
  </si>
  <si>
    <t>https://umamexico.com/category/turismo-sostenible/</t>
  </si>
  <si>
    <t>https://umamexico.com/premios-y-participaciones/</t>
  </si>
  <si>
    <t>https://umamexico.com/team/monica-carreno/</t>
  </si>
  <si>
    <t>https://umamexico.com/tienda/construccion-con-tierra-en-entornos-urbanos/</t>
  </si>
  <si>
    <t>https://umamexico.com/category/innovacion-educativa/</t>
  </si>
  <si>
    <t>https://umamexico.com/mirada-apreciativa-el-secreto-para-los-proyectos-socioambientales/</t>
  </si>
  <si>
    <t>https://umamexico.com/team/edgar-rodriguez-lora/</t>
  </si>
  <si>
    <t>https://umamexico.com/maestria-en-innovacion-educativa-para-la-sostenibilidad/</t>
  </si>
  <si>
    <t>https://umamexico.com/team/alejo-heymo/</t>
  </si>
  <si>
    <t>https://umamexico.com/contacto/</t>
  </si>
  <si>
    <t>https://umamexico.com/team/victoria-haro-3/</t>
  </si>
  <si>
    <t>https://umamexico.com/team/alfonso-diaz-2/</t>
  </si>
  <si>
    <t>https://umamexico.com/tienda/arquitectura-bioclimatica-diseno-nuevo/</t>
  </si>
  <si>
    <t>https://umamexico.com/tienda/cumplimiento-empresarial-de-la-normatividad-ambiental/</t>
  </si>
  <si>
    <t>https://umamexico.com/team/fernando-cordova/</t>
  </si>
  <si>
    <t>https://umamexico.com/que-es-la-uma/</t>
  </si>
  <si>
    <t>https://umamexico.com/team/lourdes-casillas/</t>
  </si>
  <si>
    <t>https://umamexico.com/home/</t>
  </si>
  <si>
    <t>https://umamexico.com/team/andreaa-dani/</t>
  </si>
  <si>
    <t>https://umamexico.com/tienda/manejo-integral-del-agua/</t>
  </si>
  <si>
    <t>https://umamexico.com/team/benjamin-ortiz-espejel/</t>
  </si>
  <si>
    <t>https://umamexico.com/maestrias/</t>
  </si>
  <si>
    <t>https://umamexico.com/team/priscila-alaniz/</t>
  </si>
  <si>
    <t>https://umamexico.com/carrito/</t>
  </si>
  <si>
    <t>https://umamexico.com/solicitar-informacion-especialidades/</t>
  </si>
  <si>
    <t>https://umamexico.com/egresados-cambiando-al-mundo/</t>
  </si>
  <si>
    <t>https://umamexico.com/team/fulvio-gioanetto/</t>
  </si>
  <si>
    <t>https://umamexico.com/modelo-educativo/</t>
  </si>
  <si>
    <t>https://umamexico.com/team/gabriel-garcia-jolly/</t>
  </si>
  <si>
    <t>https://umamexico.com</t>
  </si>
  <si>
    <t>https://umamexico.com/team/ana-lucia-castano/</t>
  </si>
  <si>
    <t>https://umamexico.com/tienda/herbolaria-y-cosmetica-natural/</t>
  </si>
  <si>
    <t>https://umamexico.com/team/iris-ascencio-perez/</t>
  </si>
  <si>
    <t>https://umamexico.com/tienda/arquitectura-bioclimatica/</t>
  </si>
  <si>
    <t>https://umamexico.com/extension-universitaria/</t>
  </si>
  <si>
    <t>https://umamexico.com/licenciaturas/</t>
  </si>
  <si>
    <t>https://umamexico.com/team/karina-gutierrez-2/</t>
  </si>
  <si>
    <t>https://umamexico.com/campus-uma/</t>
  </si>
  <si>
    <t>https://umamexico.com/team/jimena-mejia-aleman/</t>
  </si>
  <si>
    <t>https://umamexico.com/cursos/</t>
  </si>
  <si>
    <t>https://umamexico.com/category/administracion-de-empresas-socio-ambientales/</t>
  </si>
  <si>
    <t>https://umamexico.com/comunidad-uma/</t>
  </si>
  <si>
    <t>https://umamexico.com/team/eunice-veliz/</t>
  </si>
  <si>
    <t>https://umamexico.com/team/rodrigo-maroto-2/</t>
  </si>
  <si>
    <t>https://umamexico.com/category/agroecologia/</t>
  </si>
  <si>
    <t>https://umamexico.com/team/flor-de-maria-curiel/</t>
  </si>
  <si>
    <t>https://umamexico.com/category/radio-uma/</t>
  </si>
  <si>
    <t>https://umamexico.com/comunidad-proyectos/</t>
  </si>
  <si>
    <t>https://umamexico.com/team/rodrigo-gonzalez/</t>
  </si>
  <si>
    <t>https://umamexico.com/registro-examen-de-admision-lepsa/</t>
  </si>
  <si>
    <t>https://umamexico.com/team/isabel-bueno/</t>
  </si>
  <si>
    <t>https://umamexico.com/nuestro-campus/</t>
  </si>
  <si>
    <t>https://umamexico.com/team/mariana-quiroga-fernandez/</t>
  </si>
  <si>
    <t>https://umamexico.com/team/fernando-cuauhtli-barroso-calderon/</t>
  </si>
  <si>
    <t>https://umamexico.com/team/alfonso-diaz/</t>
  </si>
  <si>
    <t>https://umamexico.com/videos-experiencias-equipo-uma/</t>
  </si>
  <si>
    <t>https://umamexico.com/category/proyectos-socioambientales/</t>
  </si>
  <si>
    <t>https://umamexico.com/team/juan-ignacio-hernandez-pozo/</t>
  </si>
  <si>
    <t>https://umamexico.com/team/valerie-auvinet-briulet/</t>
  </si>
  <si>
    <t>https://umamexico.com/la-coevolucion-y-mi-experiencia-al-conocer-este-concepto-en-la-universidad-del-medio-ambiente/</t>
  </si>
  <si>
    <t>https://umamexico.com/team/alejandro-guevara/</t>
  </si>
  <si>
    <t>https://umamexico.com/incendios-forestales/</t>
  </si>
  <si>
    <t>https://umamexico.com/team/ana-elena-fernandez/</t>
  </si>
  <si>
    <t>https://umamexico.com/sesiones-informativas/</t>
  </si>
  <si>
    <t>https://umamexico.com/team/carlos-ruiz-galindo/</t>
  </si>
  <si>
    <t>https://umamexico.com/blog/</t>
  </si>
  <si>
    <t>https://umamexico.com/team/oscar-hagerman/</t>
  </si>
  <si>
    <t>https://umamexico.com/tienda/evaluacion-sistemica-de-proyectos/</t>
  </si>
  <si>
    <t>https://umamexico.com/team/silvia-garcia/</t>
  </si>
  <si>
    <t>https://umamexico.com/maestria-en-agroecologia-y-sistemas-alimentarios-regenerativos/</t>
  </si>
  <si>
    <t>https://umamexico.com/category/derecho-ambiental-y-politica-publica/</t>
  </si>
  <si>
    <t>https://umamexico.com/consultoria/</t>
  </si>
  <si>
    <t>https://umamexico.com/team/jesus-hernandez/</t>
  </si>
  <si>
    <t>https://umamexico.com/team/nane-wenhammar/</t>
  </si>
  <si>
    <t>https://umamexico.com/team/ana-lorena-gurza/</t>
  </si>
  <si>
    <t>https://umamexico.com/alianzas/</t>
  </si>
  <si>
    <t>https://umamexico.com/team/paloma-caramazana/</t>
  </si>
  <si>
    <t>https://umamexico.com/maestria-en-arquitectura-diseno-y-construccion-sostenible/</t>
  </si>
  <si>
    <t>https://umamexico.com/team/hernan-hernandez/</t>
  </si>
  <si>
    <t>https://umamexico.com/tienda/impacto-ambiental/</t>
  </si>
  <si>
    <t>https://umamexico.com/category/uma/</t>
  </si>
  <si>
    <t>https://umamexico.com/revista-umana/</t>
  </si>
  <si>
    <t>https://umamexico.com/category/arquitectura-y-construccion-sustentable/</t>
  </si>
  <si>
    <t>https://umamexico.com/tienda/apicultura-y-meliponicultura/</t>
  </si>
  <si>
    <t>https://umamexico.com/team/conrado-garcia/</t>
  </si>
  <si>
    <t>https://umamexico.com/tienda/economia-circular/</t>
  </si>
  <si>
    <t>https://umamexico.com/team/adriana-ruiz-almeida/</t>
  </si>
  <si>
    <t>https://umamexico.com/responsabilidad-ambiental-tipos-y-alcances-2/</t>
  </si>
  <si>
    <t>https://umamexico.com/team/ariane-laure-assemat/</t>
  </si>
  <si>
    <t>https://umamexico.com/maestria-en-derecho-ambiental-y-politica-publica/</t>
  </si>
  <si>
    <t>https://umamexico.com/team/daniela-dorantes/</t>
  </si>
  <si>
    <t>https://umamexico.com/tienda/finanzas-sustentables/</t>
  </si>
  <si>
    <t>https://umamexico.com/team/hector-castanon/</t>
  </si>
  <si>
    <t>https://umamexico.com/tienda/incidencia-en-conflictos-socioambientales/</t>
  </si>
  <si>
    <t>https://umamexico.com/team/benjamin-berlanga/</t>
  </si>
  <si>
    <t>https://umamexico.com/team/federico-llamas-2/</t>
  </si>
  <si>
    <t>https://umamexico.com/team/juan-pablo-chargoy/</t>
  </si>
  <si>
    <t>https://umamexico.com/team/elis-monroy-garcia-2/</t>
  </si>
  <si>
    <t>https://umamexico.com/team/jesica-amescua/</t>
  </si>
  <si>
    <t>https://umamexico.com/team/santiago-carsolio/</t>
  </si>
  <si>
    <t>https://umamexico.com/team/vianney-jimenez/</t>
  </si>
  <si>
    <t>https://umamexico.com/team/georgina-ramirez/</t>
  </si>
  <si>
    <t>https://umamexico.com/team/victoria-haro/</t>
  </si>
  <si>
    <t>https://umamexico.com/team/valentina-abalzati/</t>
  </si>
  <si>
    <t>https://umamexico.com/team/vanessa-armendariz/</t>
  </si>
  <si>
    <t>https://umamexico.com/team/alejandro-cruz-torres/</t>
  </si>
  <si>
    <t>https://umamexico.com/comunidad-docentes/</t>
  </si>
  <si>
    <t>https://umamexico.com/team/daniela-dorantes-2/</t>
  </si>
  <si>
    <t>https://umamexico.com/team/santiago-aguilar/</t>
  </si>
  <si>
    <t>https://umamexico.com/team/alejandra-ortiz/</t>
  </si>
  <si>
    <t>https://umamexico.com/team/vicente-ferreyra/</t>
  </si>
  <si>
    <t>https://umamexico.com/solicitar-informacion-licenciaturas/</t>
  </si>
  <si>
    <t>https://umamexico.com/tienda/sociocracia-gobernanza-tan-afectiva-como-efectiva/</t>
  </si>
  <si>
    <t>https://umamexico.com/team/daniel-hernandez/</t>
  </si>
  <si>
    <t>https://umamexico.com/maestria-en-administracion-de-empresas-socioambientales-green-mba/</t>
  </si>
  <si>
    <t>https://umamexico.com/team/karina-gutierrez/</t>
  </si>
  <si>
    <t>https://umamexico.com/team/annabel-membrillo-2/</t>
  </si>
  <si>
    <t>https://umamexico.com/product-category/diplomado-semipresencial/</t>
  </si>
  <si>
    <t>https://umamexico.com/team/maria-fernanda-zuniga/</t>
  </si>
  <si>
    <t>https://umamexico.com/team/dan-fleitman/</t>
  </si>
  <si>
    <t>https://umamexico.com/team/ricardo-mansilla-sanchez/</t>
  </si>
  <si>
    <t>https://umamexico.com/team/francisco-bonilla/</t>
  </si>
  <si>
    <t>https://umamexico.com/team/magnolia-magos/</t>
  </si>
  <si>
    <t>https://umamexico.com/team/hector-ceballos/</t>
  </si>
  <si>
    <t>https://umamexico.com/team/raul-montiel-calderon/</t>
  </si>
  <si>
    <t>https://umamexico.com/team/h-gerardo-ibarra/</t>
  </si>
  <si>
    <t>https://umamexico.com/team/gloria-quintanilla/</t>
  </si>
  <si>
    <t>https://umamexico.com/tienda/desarrollo-de-habilidades-cognitivas-para-el-aprendizaje/</t>
  </si>
  <si>
    <t>https://umamexico.com/team/francisco-bonilla-2/</t>
  </si>
  <si>
    <t>https://umamexico.com/team/francisco-javier-arroyo/</t>
  </si>
  <si>
    <t>restauracion-de-ecosistemas-en-zonas-urbanas/</t>
  </si>
  <si>
    <t>construccion-con-tierra-en-entornos-urbanos/</t>
  </si>
  <si>
    <t>cumplimiento-empresarial-de-la-normatividad-ambiental/</t>
  </si>
  <si>
    <t>manejo-integral-del-agua/</t>
  </si>
  <si>
    <t>herbolaria-y-cosmetica-natural/</t>
  </si>
  <si>
    <t>sesiones-informativas/</t>
  </si>
  <si>
    <t>impacto-ambiental/</t>
  </si>
  <si>
    <t>apicultura-y-meliponicultura/</t>
  </si>
  <si>
    <t>/economia-circular/</t>
  </si>
  <si>
    <t>finanzas-sustentables/</t>
  </si>
  <si>
    <t>sociocracia-gobernanza-tan-afectiva-como-efectiva/</t>
  </si>
  <si>
    <t>especialidades/</t>
  </si>
  <si>
    <t>restauracion-ecosistemica/</t>
  </si>
  <si>
    <t>arquitectura-bioclimatica-diseno-nuevo/</t>
  </si>
  <si>
    <t>arquitectura-bioclimatica/</t>
  </si>
  <si>
    <t>evaluacion-sistemica-de-proyectos/</t>
  </si>
  <si>
    <t>incidencia-en-conflictos-socioambientales/</t>
  </si>
  <si>
    <t>maestria-en-administracion-de-empresas-socioambientales-green-mba/</t>
  </si>
  <si>
    <t>maestria-en-agroecologia-y-sistemas-alimentarios-regenerativos/</t>
  </si>
  <si>
    <t>maestria-en-arquitectura-diseno-y-construccion-sostenible/</t>
  </si>
  <si>
    <t>maestria-en-derecho-ambiental-y-politica-publica/</t>
  </si>
  <si>
    <t>maestria-en-innovacion-educativa-para-la-sostenibilidad/</t>
  </si>
  <si>
    <t>maestria-en-proyectos-socioambientales/</t>
  </si>
  <si>
    <t>maestrias/</t>
  </si>
  <si>
    <t>administracion-de-empresas-socio-ambientales/</t>
  </si>
  <si>
    <t>agroecologia/</t>
  </si>
  <si>
    <t>arquitectura-y-construccion-sustentable/</t>
  </si>
  <si>
    <t>derecho-ambiental-y-politica-publica/</t>
  </si>
  <si>
    <t>innovacion-educativa/</t>
  </si>
  <si>
    <t>proyectos-socioambientales/</t>
  </si>
  <si>
    <t>radio-uma/</t>
  </si>
  <si>
    <t>turismo-sostenible/</t>
  </si>
  <si>
    <t>/uma/</t>
  </si>
  <si>
    <t>incendios-forestales/</t>
  </si>
  <si>
    <t>la-coevolucion-y-mi-experiencia-al-conocer-este-concepto-en-la-universidad-del-medio-ambiente/</t>
  </si>
  <si>
    <t>licenciaturas/</t>
  </si>
  <si>
    <t>solicitar-informacion-licenciaturas/</t>
  </si>
  <si>
    <t>Activa</t>
  </si>
  <si>
    <t>Estatus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</si>
</sst>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u/>
      <sz val="12"/>
      <color theme="1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17">
    <xf numFmtId="0" fontId="0" fillId="0" borderId="0" xfId="0"/>
    <xf numFmtId="0" fontId="0" fillId="33" borderId="0" xfId="0" applyFill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10" xfId="0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16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left" vertical="center"/>
    </xf>
    <xf numFmtId="0" fontId="19" fillId="0" borderId="10" xfId="42" applyBorder="1" applyAlignment="1">
      <alignment horizontal="left" vertical="center"/>
    </xf>
    <xf numFmtId="0" fontId="16" fillId="0" borderId="10" xfId="0" applyFont="1" applyBorder="1" applyAlignment="1">
      <alignment horizontal="left"/>
    </xf>
    <xf numFmtId="0" fontId="16" fillId="0" borderId="10" xfId="0" applyFont="1" applyBorder="1"/>
    <xf numFmtId="0" fontId="0" fillId="0" borderId="10" xfId="0" applyBorder="1" applyAlignment="1">
      <alignment horizontal="left" indent="1"/>
    </xf>
    <xf numFmtId="0" fontId="0" fillId="0" borderId="10" xfId="0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CC000"/>
      <color rgb="FFFFA700"/>
      <color rgb="FFFF5461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Tamaño de páginas por categorías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Sheet2!$P$39</c:f>
              <c:strCache>
                <c:ptCount val="1"/>
                <c:pt idx="0">
                  <c:v>Tamaño en bytes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Sheet2!$O$40:$O$44</c:f>
              <c:strCache>
                <c:ptCount val="5"/>
                <c:pt idx="0">
                  <c:v>Licenciatura</c:v>
                </c:pt>
                <c:pt idx="1">
                  <c:v>Maestría</c:v>
                </c:pt>
                <c:pt idx="2">
                  <c:v>Especialidades</c:v>
                </c:pt>
                <c:pt idx="3">
                  <c:v>Blog</c:v>
                </c:pt>
                <c:pt idx="4">
                  <c:v>Talleres y Diplomados</c:v>
                </c:pt>
              </c:strCache>
            </c:strRef>
          </c:cat>
          <c:val>
            <c:numRef>
              <c:f>Sheet2!$P$40:$P$44</c:f>
              <c:numCache>
                <c:formatCode>General</c:formatCode>
                <c:ptCount val="5"/>
                <c:pt idx="0">
                  <c:v>306629</c:v>
                </c:pt>
                <c:pt idx="1">
                  <c:v>1142439</c:v>
                </c:pt>
                <c:pt idx="2">
                  <c:v>1201481</c:v>
                </c:pt>
                <c:pt idx="3">
                  <c:v>1737608</c:v>
                </c:pt>
                <c:pt idx="4">
                  <c:v>1848897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A-6E46-9B37-F68025BA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182218896"/>
        <c:axId val="1182315296"/>
      </c:barChart>
      <c:catAx>
        <c:axId val="1182218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82315296"/>
        <c:crosses val="autoZero"/>
        <c:auto val="1"/>
        <c:lblAlgn val="ctr"/>
        <c:lblOffset val="100"/>
        <c:noMultiLvlLbl val="0"/>
      </c:catAx>
      <c:valAx>
        <c:axId val="118231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8221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Especialidades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Sheet2!$X$3</c:f>
              <c:strCache>
                <c:ptCount val="1"/>
                <c:pt idx="0">
                  <c:v>Tamaño en bytes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Sheet2!$W$4:$W$9</c:f>
              <c:strCache>
                <c:ptCount val="6"/>
                <c:pt idx="0">
                  <c:v>especialidades/</c:v>
                </c:pt>
                <c:pt idx="1">
                  <c:v>restauracion-ecosistemica/</c:v>
                </c:pt>
                <c:pt idx="2">
                  <c:v>arquitectura-bioclimatica-diseno-nuevo/</c:v>
                </c:pt>
                <c:pt idx="3">
                  <c:v>arquitectura-bioclimatica/</c:v>
                </c:pt>
                <c:pt idx="4">
                  <c:v>evaluacion-sistemica-de-proyectos/</c:v>
                </c:pt>
                <c:pt idx="5">
                  <c:v>incidencia-en-conflictos-socioambientales/</c:v>
                </c:pt>
              </c:strCache>
            </c:strRef>
          </c:cat>
          <c:val>
            <c:numRef>
              <c:f>Sheet2!$X$4:$X$9</c:f>
              <c:numCache>
                <c:formatCode>General</c:formatCode>
                <c:ptCount val="6"/>
                <c:pt idx="0">
                  <c:v>335251</c:v>
                </c:pt>
                <c:pt idx="1">
                  <c:v>227743</c:v>
                </c:pt>
                <c:pt idx="2">
                  <c:v>182377</c:v>
                </c:pt>
                <c:pt idx="3">
                  <c:v>163804</c:v>
                </c:pt>
                <c:pt idx="4">
                  <c:v>146585</c:v>
                </c:pt>
                <c:pt idx="5">
                  <c:v>145721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2-E440-9B93-0349CF25B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9113536"/>
        <c:axId val="1569023888"/>
      </c:barChart>
      <c:catAx>
        <c:axId val="156911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69023888"/>
        <c:crosses val="autoZero"/>
        <c:auto val="1"/>
        <c:lblAlgn val="ctr"/>
        <c:lblOffset val="100"/>
        <c:noMultiLvlLbl val="0"/>
      </c:catAx>
      <c:valAx>
        <c:axId val="15690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6911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8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Aptos Narrow" panose="02110004020202020204"/>
              </a:rPr>
              <a:t>Talleres y diplomados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Sheet2!$X$40</c:f>
              <c:strCache>
                <c:ptCount val="1"/>
                <c:pt idx="0">
                  <c:v>Tamaño en bytes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Sheet2!$W$41:$W$51</c:f>
              <c:strCache>
                <c:ptCount val="11"/>
                <c:pt idx="0">
                  <c:v>restauracion-de-ecosistemas-en-zonas-urbanas/</c:v>
                </c:pt>
                <c:pt idx="1">
                  <c:v>construccion-con-tierra-en-entornos-urbanos/</c:v>
                </c:pt>
                <c:pt idx="2">
                  <c:v>cumplimiento-empresarial-de-la-normatividad-ambiental/</c:v>
                </c:pt>
                <c:pt idx="3">
                  <c:v>manejo-integral-del-agua/</c:v>
                </c:pt>
                <c:pt idx="4">
                  <c:v>herbolaria-y-cosmetica-natural/</c:v>
                </c:pt>
                <c:pt idx="5">
                  <c:v>sesiones-informativas/</c:v>
                </c:pt>
                <c:pt idx="6">
                  <c:v>impacto-ambiental/</c:v>
                </c:pt>
                <c:pt idx="7">
                  <c:v>apicultura-y-meliponicultura/</c:v>
                </c:pt>
                <c:pt idx="8">
                  <c:v>/economia-circular/</c:v>
                </c:pt>
                <c:pt idx="9">
                  <c:v>finanzas-sustentables/</c:v>
                </c:pt>
                <c:pt idx="10">
                  <c:v>sociocracia-gobernanza-tan-afectiva-como-efectiva/</c:v>
                </c:pt>
              </c:strCache>
            </c:strRef>
          </c:cat>
          <c:val>
            <c:numRef>
              <c:f>Sheet2!$X$41:$X$51</c:f>
              <c:numCache>
                <c:formatCode>General</c:formatCode>
                <c:ptCount val="11"/>
                <c:pt idx="0">
                  <c:v>269661</c:v>
                </c:pt>
                <c:pt idx="1">
                  <c:v>188891</c:v>
                </c:pt>
                <c:pt idx="2">
                  <c:v>178751</c:v>
                </c:pt>
                <c:pt idx="3">
                  <c:v>172198</c:v>
                </c:pt>
                <c:pt idx="4">
                  <c:v>164059</c:v>
                </c:pt>
                <c:pt idx="5">
                  <c:v>146833</c:v>
                </c:pt>
                <c:pt idx="6">
                  <c:v>145899</c:v>
                </c:pt>
                <c:pt idx="7">
                  <c:v>145866</c:v>
                </c:pt>
                <c:pt idx="8">
                  <c:v>145860</c:v>
                </c:pt>
                <c:pt idx="9">
                  <c:v>145814</c:v>
                </c:pt>
                <c:pt idx="10">
                  <c:v>145065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C-6548-BFEF-4E15551AF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9225696"/>
        <c:axId val="1569122432"/>
      </c:barChart>
      <c:catAx>
        <c:axId val="156922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69122432"/>
        <c:crosses val="autoZero"/>
        <c:auto val="1"/>
        <c:lblAlgn val="ctr"/>
        <c:lblOffset val="100"/>
        <c:noMultiLvlLbl val="0"/>
      </c:catAx>
      <c:valAx>
        <c:axId val="156912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692256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Maestrías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Sheet2!$X$83</c:f>
              <c:strCache>
                <c:ptCount val="1"/>
                <c:pt idx="0">
                  <c:v>Tamaño en bytes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Sheet2!$W$84:$W$90</c:f>
              <c:strCache>
                <c:ptCount val="7"/>
                <c:pt idx="0">
                  <c:v>maestria-en-proyectos-socioambientales/</c:v>
                </c:pt>
                <c:pt idx="1">
                  <c:v>maestria-en-innovacion-educativa-para-la-sostenibilidad/</c:v>
                </c:pt>
                <c:pt idx="2">
                  <c:v>maestrias/</c:v>
                </c:pt>
                <c:pt idx="3">
                  <c:v>maestria-en-agroecologia-y-sistemas-alimentarios-regenerativos/</c:v>
                </c:pt>
                <c:pt idx="4">
                  <c:v>maestria-en-arquitectura-diseno-y-construccion-sostenible/</c:v>
                </c:pt>
                <c:pt idx="5">
                  <c:v>maestria-en-derecho-ambiental-y-politica-publica/</c:v>
                </c:pt>
                <c:pt idx="6">
                  <c:v>maestria-en-administracion-de-empresas-socioambientales-green-mba/</c:v>
                </c:pt>
              </c:strCache>
            </c:strRef>
          </c:cat>
          <c:val>
            <c:numRef>
              <c:f>Sheet2!$X$84:$X$90</c:f>
              <c:numCache>
                <c:formatCode>General</c:formatCode>
                <c:ptCount val="7"/>
                <c:pt idx="0">
                  <c:v>198575</c:v>
                </c:pt>
                <c:pt idx="1">
                  <c:v>188667</c:v>
                </c:pt>
                <c:pt idx="2">
                  <c:v>171881</c:v>
                </c:pt>
                <c:pt idx="3">
                  <c:v>146451</c:v>
                </c:pt>
                <c:pt idx="4">
                  <c:v>146007</c:v>
                </c:pt>
                <c:pt idx="5">
                  <c:v>145828</c:v>
                </c:pt>
                <c:pt idx="6">
                  <c:v>145030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F-ED4A-9569-10590DEE9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7808688"/>
        <c:axId val="1608366832"/>
      </c:barChart>
      <c:catAx>
        <c:axId val="160780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608366832"/>
        <c:crosses val="autoZero"/>
        <c:auto val="1"/>
        <c:lblAlgn val="ctr"/>
        <c:lblOffset val="100"/>
        <c:noMultiLvlLbl val="0"/>
      </c:catAx>
      <c:valAx>
        <c:axId val="160836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60780868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Blog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Sheet2!$X$125</c:f>
              <c:strCache>
                <c:ptCount val="1"/>
                <c:pt idx="0">
                  <c:v>Tamaño en bytes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Sheet2!$W$126:$W$136</c:f>
              <c:strCache>
                <c:ptCount val="11"/>
                <c:pt idx="0">
                  <c:v>turismo-sostenible/</c:v>
                </c:pt>
                <c:pt idx="1">
                  <c:v>innovacion-educativa/</c:v>
                </c:pt>
                <c:pt idx="2">
                  <c:v>administracion-de-empresas-socio-ambientales/</c:v>
                </c:pt>
                <c:pt idx="3">
                  <c:v>agroecologia/</c:v>
                </c:pt>
                <c:pt idx="4">
                  <c:v>radio-uma/</c:v>
                </c:pt>
                <c:pt idx="5">
                  <c:v>proyectos-socioambientales/</c:v>
                </c:pt>
                <c:pt idx="6">
                  <c:v>la-coevolucion-y-mi-experiencia-al-conocer-este-concepto-en-la-universidad-del-medio-ambiente/</c:v>
                </c:pt>
                <c:pt idx="7">
                  <c:v>incendios-forestales/</c:v>
                </c:pt>
                <c:pt idx="8">
                  <c:v>derecho-ambiental-y-politica-publica/</c:v>
                </c:pt>
                <c:pt idx="9">
                  <c:v>/uma/</c:v>
                </c:pt>
                <c:pt idx="10">
                  <c:v>arquitectura-y-construccion-sustentable/</c:v>
                </c:pt>
              </c:strCache>
            </c:strRef>
          </c:cat>
          <c:val>
            <c:numRef>
              <c:f>Sheet2!$X$126:$X$136</c:f>
              <c:numCache>
                <c:formatCode>General</c:formatCode>
                <c:ptCount val="11"/>
                <c:pt idx="0">
                  <c:v>198575</c:v>
                </c:pt>
                <c:pt idx="1">
                  <c:v>188891</c:v>
                </c:pt>
                <c:pt idx="2">
                  <c:v>159287</c:v>
                </c:pt>
                <c:pt idx="3">
                  <c:v>156116</c:v>
                </c:pt>
                <c:pt idx="4">
                  <c:v>152587</c:v>
                </c:pt>
                <c:pt idx="5">
                  <c:v>148984</c:v>
                </c:pt>
                <c:pt idx="6">
                  <c:v>147797</c:v>
                </c:pt>
                <c:pt idx="7">
                  <c:v>147126</c:v>
                </c:pt>
                <c:pt idx="8">
                  <c:v>146451</c:v>
                </c:pt>
                <c:pt idx="9">
                  <c:v>145899</c:v>
                </c:pt>
                <c:pt idx="10">
                  <c:v>145895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CD-CE47-B35C-E1E332C95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8639872"/>
        <c:axId val="1569735215"/>
      </c:barChart>
      <c:catAx>
        <c:axId val="155863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69735215"/>
        <c:crosses val="autoZero"/>
        <c:auto val="1"/>
        <c:lblAlgn val="ctr"/>
        <c:lblOffset val="100"/>
        <c:noMultiLvlLbl val="0"/>
      </c:catAx>
      <c:valAx>
        <c:axId val="156973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586398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Licenciaturas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Sheet2!$X$167</c:f>
              <c:strCache>
                <c:ptCount val="1"/>
                <c:pt idx="0">
                  <c:v>Tamaño en bytes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Sheet2!$W$168:$W$169</c:f>
              <c:strCache>
                <c:ptCount val="2"/>
                <c:pt idx="0">
                  <c:v>licenciaturas/</c:v>
                </c:pt>
                <c:pt idx="1">
                  <c:v>solicitar-informacion-licenciaturas/</c:v>
                </c:pt>
              </c:strCache>
            </c:strRef>
          </c:cat>
          <c:val>
            <c:numRef>
              <c:f>Sheet2!$X$168:$X$169</c:f>
              <c:numCache>
                <c:formatCode>General</c:formatCode>
                <c:ptCount val="2"/>
                <c:pt idx="0">
                  <c:v>161506</c:v>
                </c:pt>
                <c:pt idx="1">
                  <c:v>145123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C7-3B41-976B-763C387A4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009263"/>
        <c:axId val="1646174864"/>
      </c:barChart>
      <c:catAx>
        <c:axId val="1603009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646174864"/>
        <c:crosses val="autoZero"/>
        <c:auto val="1"/>
        <c:lblAlgn val="ctr"/>
        <c:lblOffset val="100"/>
        <c:noMultiLvlLbl val="0"/>
      </c:catAx>
      <c:valAx>
        <c:axId val="164617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6030092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215900</xdr:colOff>
      <xdr:row>1</xdr:row>
      <xdr:rowOff>25400</xdr:rowOff>
    </xdr:from>
    <xdr:to>
      <xdr:col>19</xdr:col>
      <xdr:colOff>355600</xdr:colOff>
      <xdr:row>36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FB6908-6D51-BFF6-7890-E383CACF3C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10</xdr:row>
      <xdr:rowOff>38100</xdr:rowOff>
    </xdr:from>
    <xdr:to>
      <xdr:col>27</xdr:col>
      <xdr:colOff>12700</xdr:colOff>
      <xdr:row>38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BF50B6B-99C2-AC25-774E-C18A26E2A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52</xdr:row>
      <xdr:rowOff>0</xdr:rowOff>
    </xdr:from>
    <xdr:to>
      <xdr:col>27</xdr:col>
      <xdr:colOff>25400</xdr:colOff>
      <xdr:row>81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0B2264-48EC-BC6C-624B-B95F367E6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91</xdr:row>
      <xdr:rowOff>0</xdr:rowOff>
    </xdr:from>
    <xdr:to>
      <xdr:col>27</xdr:col>
      <xdr:colOff>0</xdr:colOff>
      <xdr:row>123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34BBA6B-0C42-3250-D41C-3E1E56ED8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12700</xdr:colOff>
      <xdr:row>137</xdr:row>
      <xdr:rowOff>0</xdr:rowOff>
    </xdr:from>
    <xdr:to>
      <xdr:col>27</xdr:col>
      <xdr:colOff>0</xdr:colOff>
      <xdr:row>165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741B8D8-68FF-293D-552F-76ADBA1660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171</xdr:row>
      <xdr:rowOff>0</xdr:rowOff>
    </xdr:from>
    <xdr:to>
      <xdr:col>27</xdr:col>
      <xdr:colOff>12700</xdr:colOff>
      <xdr:row>197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AB4E30-B7B3-3F12-DAA8-5CA959690D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raham Avila" refreshedDate="45442.712360185185" createdVersion="8" refreshedVersion="8" minRefreshableVersion="3" recordCount="145" xr:uid="{44FE5CF2-B5FE-9248-A12B-F47A1CB422B0}">
  <cacheSource type="worksheet">
    <worksheetSource ref="A1:C146" sheet="url_sizes"/>
  </cacheSource>
  <cacheFields count="3">
    <cacheField name="Categoría" numFmtId="0">
      <sharedItems count="6">
        <s v="Other"/>
        <s v="Especialidades"/>
        <s v="Talleres y Diplomados"/>
        <s v="Maestría"/>
        <s v="Blog"/>
        <s v="Licenciatura"/>
      </sharedItems>
    </cacheField>
    <cacheField name="URL" numFmtId="0">
      <sharedItems count="145">
        <s v="The size of https://umamexico.com/comunidad-estudiantes-y-egresados/"/>
        <s v="The size of https://umamexico.com/especialidades/"/>
        <s v="The size of https://umamexico.com/team/edith-perez-2/"/>
        <s v="The size of https://umamexico.com/prensa-y-entrevistas/"/>
        <s v="The size of https://umamexico.com/team/gerardo-tapia/"/>
        <s v="The size of https://umamexico.com/docentes-y-asesores/"/>
        <s v="The size of https://umamexico.com/team/sofia-zorrilla/"/>
        <s v="The size of https://umamexico.com/tienda/restauracion-de-ecosistemas-en-zonas-urbanas/"/>
        <s v="The size of https://umamexico.com/team/conrado-garcia-madrid-2/"/>
        <s v="The size of https://umamexico.com/tienda/restauracion-ecosistemica/"/>
        <s v="The size of https://umamexico.com/team/ana-carla-velasco-agis/"/>
        <s v="The size of https://umamexico.com/equipouma/"/>
        <s v="The size of https://umamexico.com/product-category/especialidad/"/>
        <s v="The size of https://umamexico.com/maestria-en-proyectos-socioambientales/"/>
        <s v="The size of https://umamexico.com/category/turismo-sostenible/"/>
        <s v="The size of https://umamexico.com/premios-y-participaciones/"/>
        <s v="The size of https://umamexico.com/team/monica-carreno/"/>
        <s v="The size of https://umamexico.com/tienda/construccion-con-tierra-en-entornos-urbanos/"/>
        <s v="The size of https://umamexico.com/category/innovacion-educativa/"/>
        <s v="The size of https://umamexico.com/mirada-apreciativa-el-secreto-para-los-proyectos-socioambientales/"/>
        <s v="The size of https://umamexico.com/team/edgar-rodriguez-lora/"/>
        <s v="The size of https://umamexico.com/maestria-en-innovacion-educativa-para-la-sostenibilidad/"/>
        <s v="The size of https://umamexico.com/team/alejo-heymo/"/>
        <s v="The size of https://umamexico.com/contacto/"/>
        <s v="The size of https://umamexico.com/team/victoria-haro-3/"/>
        <s v="The size of https://umamexico.com/team/alfonso-diaz-2/"/>
        <s v="The size of https://umamexico.com/tienda/arquitectura-bioclimatica-diseno-nuevo/"/>
        <s v="The size of https://umamexico.com/tienda/cumplimiento-empresarial-de-la-normatividad-ambiental/"/>
        <s v="The size of https://umamexico.com/team/fernando-cordova/"/>
        <s v="The size of https://umamexico.com/que-es-la-uma/"/>
        <s v="The size of https://umamexico.com/team/lourdes-casillas/"/>
        <s v="The size of https://umamexico.com/home/"/>
        <s v="The size of https://umamexico.com/team/andreaa-dani/"/>
        <s v="The size of https://umamexico.com/tienda/manejo-integral-del-agua/"/>
        <s v="The size of https://umamexico.com/team/benjamin-ortiz-espejel/"/>
        <s v="The size of https://umamexico.com/maestrias/"/>
        <s v="The size of https://umamexico.com/team/priscila-alaniz/"/>
        <s v="The size of https://umamexico.com/carrito/"/>
        <s v="The size of https://umamexico.com/solicitar-informacion-especialidades/"/>
        <s v="The size of https://umamexico.com/egresados-cambiando-al-mundo/"/>
        <s v="The size of https://umamexico.com/team/fulvio-gioanetto/"/>
        <s v="The size of https://umamexico.com/modelo-educativo/"/>
        <s v="The size of https://umamexico.com/team/gabriel-garcia-jolly/"/>
        <s v="The size of https://umamexico.com"/>
        <s v="The size of https://umamexico.com/team/ana-lucia-castano/"/>
        <s v="The size of https://umamexico.com/tienda/herbolaria-y-cosmetica-natural/"/>
        <s v="The size of https://umamexico.com/team/iris-ascencio-perez/"/>
        <s v="The size of https://umamexico.com/tienda/arquitectura-bioclimatica/"/>
        <s v="The size of https://umamexico.com/extension-universitaria/"/>
        <s v="The size of https://umamexico.com/licenciaturas/"/>
        <s v="The size of https://umamexico.com/team/karina-gutierrez-2/"/>
        <s v="The size of https://umamexico.com/campus-uma/"/>
        <s v="The size of https://umamexico.com/team/jimena-mejia-aleman/"/>
        <s v="The size of https://umamexico.com/cursos/"/>
        <s v="The size of https://umamexico.com/category/administracion-de-empresas-socio-ambientales/"/>
        <s v="The size of https://umamexico.com/comunidad-uma/"/>
        <s v="The size of https://umamexico.com/team/eunice-veliz/"/>
        <s v="The size of https://umamexico.com/team/rodrigo-maroto-2/"/>
        <s v="The size of https://umamexico.com/category/agroecologia/"/>
        <s v="The size of https://umamexico.com/team/flor-de-maria-curiel/"/>
        <s v="The size of https://umamexico.com/category/radio-uma/"/>
        <s v="The size of https://umamexico.com/comunidad-proyectos/"/>
        <s v="The size of https://umamexico.com/team/rodrigo-gonzalez/"/>
        <s v="The size of https://umamexico.com/registro-examen-de-admision-lepsa/"/>
        <s v="The size of https://umamexico.com/team/isabel-bueno/"/>
        <s v="The size of https://umamexico.com/nuestro-campus/"/>
        <s v="The size of https://umamexico.com/team/mariana-quiroga-fernandez/"/>
        <s v="The size of https://umamexico.com/team/fernando-cuauhtli-barroso-calderon/"/>
        <s v="The size of https://umamexico.com/team/alfonso-diaz/"/>
        <s v="The size of https://umamexico.com/videos-experiencias-equipo-uma/"/>
        <s v="The size of https://umamexico.com/category/proyectos-socioambientales/"/>
        <s v="The size of https://umamexico.com/team/juan-ignacio-hernandez-pozo/"/>
        <s v="The size of https://umamexico.com/team/valerie-auvinet-briulet/"/>
        <s v="The size of https://umamexico.com/la-coevolucion-y-mi-experiencia-al-conocer-este-concepto-en-la-universidad-del-medio-ambiente/"/>
        <s v="The size of https://umamexico.com/team/alejandro-guevara/"/>
        <s v="The size of https://umamexico.com/incendios-forestales/"/>
        <s v="The size of https://umamexico.com/team/ana-elena-fernandez/"/>
        <s v="The size of https://umamexico.com/sesiones-informativas/"/>
        <s v="The size of https://umamexico.com/team/carlos-ruiz-galindo/"/>
        <s v="The size of https://umamexico.com/blog/"/>
        <s v="The size of https://umamexico.com/team/oscar-hagerman/"/>
        <s v="The size of https://umamexico.com/tienda/evaluacion-sistemica-de-proyectos/"/>
        <s v="The size of https://umamexico.com/team/silvia-garcia/"/>
        <s v="The size of https://umamexico.com/maestria-en-agroecologia-y-sistemas-alimentarios-regenerativos/"/>
        <s v="The size of https://umamexico.com/category/derecho-ambiental-y-politica-publica/"/>
        <s v="The size of https://umamexico.com/consultoria/"/>
        <s v="The size of https://umamexico.com/team/jesus-hernandez/"/>
        <s v="The size of https://umamexico.com/team/nane-wenhammar/"/>
        <s v="The size of https://umamexico.com/team/ana-lorena-gurza/"/>
        <s v="The size of https://umamexico.com/alianzas/"/>
        <s v="The size of https://umamexico.com/team/paloma-caramazana/"/>
        <s v="The size of https://umamexico.com/maestria-en-arquitectura-diseno-y-construccion-sostenible/"/>
        <s v="The size of https://umamexico.com/team/hernan-hernandez/"/>
        <s v="The size of https://umamexico.com/tienda/impacto-ambiental/"/>
        <s v="The size of https://umamexico.com/category/uma/"/>
        <s v="The size of https://umamexico.com/revista-umana/"/>
        <s v="The size of https://umamexico.com/category/arquitectura-y-construccion-sustentable/"/>
        <s v="The size of https://umamexico.com/tienda/apicultura-y-meliponicultura/"/>
        <s v="The size of https://umamexico.com/team/conrado-garcia/"/>
        <s v="The size of https://umamexico.com/tienda/economia-circular/"/>
        <s v="The size of https://umamexico.com/team/adriana-ruiz-almeida/"/>
        <s v="The size of https://umamexico.com/responsabilidad-ambiental-tipos-y-alcances-2/"/>
        <s v="The size of https://umamexico.com/team/ariane-laure-assemat/"/>
        <s v="The size of https://umamexico.com/maestria-en-derecho-ambiental-y-politica-publica/"/>
        <s v="The size of https://umamexico.com/team/daniela-dorantes/"/>
        <s v="The size of https://umamexico.com/tienda/finanzas-sustentables/"/>
        <s v="The size of https://umamexico.com/team/hector-castanon/"/>
        <s v="The size of https://umamexico.com/tienda/incidencia-en-conflictos-socioambientales/"/>
        <s v="The size of https://umamexico.com/team/benjamin-berlanga/"/>
        <s v="The size of https://umamexico.com/team/federico-llamas-2/"/>
        <s v="The size of https://umamexico.com/team/juan-pablo-chargoy/"/>
        <s v="The size of https://umamexico.com/team/elis-monroy-garcia-2/"/>
        <s v="The size of https://umamexico.com/team/jesica-amescua/"/>
        <s v="The size of https://umamexico.com/team/santiago-carsolio/"/>
        <s v="The size of https://umamexico.com/team/vianney-jimenez/"/>
        <s v="The size of https://umamexico.com/team/georgina-ramirez/"/>
        <s v="The size of https://umamexico.com/team/victoria-haro/"/>
        <s v="The size of https://umamexico.com/team/valentina-abalzati/"/>
        <s v="The size of https://umamexico.com/team/vanessa-armendariz/"/>
        <s v="The size of https://umamexico.com/team/alejandro-cruz-torres/"/>
        <s v="The size of https://umamexico.com/comunidad-docentes/"/>
        <s v="The size of https://umamexico.com/team/daniela-dorantes-2/"/>
        <s v="The size of https://umamexico.com/team/santiago-aguilar/"/>
        <s v="The size of https://umamexico.com/team/alejandra-ortiz/"/>
        <s v="The size of https://umamexico.com/team/vicente-ferreyra/"/>
        <s v="The size of https://umamexico.com/solicitar-informacion-licenciaturas/"/>
        <s v="The size of https://umamexico.com/product-category/talleres-y-diplomados/"/>
        <s v="The size of https://umamexico.com/tienda/sociocracia-gobernanza-tan-afectiva-como-efectiva/"/>
        <s v="The size of https://umamexico.com/team/daniel-hernandez/"/>
        <s v="The size of https://umamexico.com/maestria-en-administracion-de-empresas-socioambientales-green-mba/"/>
        <s v="The size of https://umamexico.com/team/karina-gutierrez/"/>
        <s v="The size of https://umamexico.com/team/annabel-membrillo-2/"/>
        <s v="The size of https://umamexico.com/product-category/diplomado-semipresencial/"/>
        <s v="The size of https://umamexico.com/team/maria-fernanda-zuniga/"/>
        <s v="The size of https://umamexico.com/team/dan-fleitman/"/>
        <s v="The size of https://umamexico.com/team/ricardo-mansilla-sanchez/"/>
        <s v="The size of https://umamexico.com/team/francisco-bonilla/"/>
        <s v="The size of https://umamexico.com/team/magnolia-magos/"/>
        <s v="The size of https://umamexico.com/team/hector-ceballos/"/>
        <s v="The size of https://umamexico.com/team/raul-montiel-calderon/"/>
        <s v="The size of https://umamexico.com/team/h-gerardo-ibarra/"/>
        <s v="The size of https://umamexico.com/team/gloria-quintanilla/"/>
        <s v="The size of https://umamexico.com/tienda/desarrollo-de-habilidades-cognitivas-para-el-aprendizaje/"/>
        <s v="The size of https://umamexico.com/team/francisco-bonilla-2/"/>
        <s v="The size of https://umamexico.com/team/francisco-javier-arroyo/"/>
      </sharedItems>
    </cacheField>
    <cacheField name="Size in bytes" numFmtId="0">
      <sharedItems containsSemiMixedTypes="0" containsString="0" containsNumber="1" containsInteger="1" minValue="144756" maxValue="649575" count="73">
        <n v="649575"/>
        <n v="335251"/>
        <n v="322284"/>
        <n v="276241"/>
        <n v="269661"/>
        <n v="227743"/>
        <n v="223086"/>
        <n v="198575"/>
        <n v="193693"/>
        <n v="188891"/>
        <n v="188670"/>
        <n v="188667"/>
        <n v="186089"/>
        <n v="182377"/>
        <n v="178751"/>
        <n v="173101"/>
        <n v="172837"/>
        <n v="172198"/>
        <n v="171881"/>
        <n v="169612"/>
        <n v="169034"/>
        <n v="167870"/>
        <n v="165512"/>
        <n v="164059"/>
        <n v="163804"/>
        <n v="161506"/>
        <n v="161011"/>
        <n v="159287"/>
        <n v="158899"/>
        <n v="156116"/>
        <n v="152587"/>
        <n v="150932"/>
        <n v="150930"/>
        <n v="150084"/>
        <n v="149833"/>
        <n v="148984"/>
        <n v="148081"/>
        <n v="147797"/>
        <n v="147126"/>
        <n v="146833"/>
        <n v="146735"/>
        <n v="146585"/>
        <n v="146451"/>
        <n v="146292"/>
        <n v="146286"/>
        <n v="146019"/>
        <n v="146007"/>
        <n v="145899"/>
        <n v="145895"/>
        <n v="145866"/>
        <n v="145860"/>
        <n v="145834"/>
        <n v="145828"/>
        <n v="145814"/>
        <n v="145721"/>
        <n v="145650"/>
        <n v="145648"/>
        <n v="145556"/>
        <n v="145400"/>
        <n v="145365"/>
        <n v="145349"/>
        <n v="145235"/>
        <n v="145142"/>
        <n v="145123"/>
        <n v="145065"/>
        <n v="145030"/>
        <n v="144991"/>
        <n v="144986"/>
        <n v="144942"/>
        <n v="144933"/>
        <n v="144888"/>
        <n v="144762"/>
        <n v="14475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x v="0"/>
    <x v="0"/>
    <x v="0"/>
  </r>
  <r>
    <x v="1"/>
    <x v="1"/>
    <x v="1"/>
  </r>
  <r>
    <x v="0"/>
    <x v="2"/>
    <x v="1"/>
  </r>
  <r>
    <x v="0"/>
    <x v="3"/>
    <x v="2"/>
  </r>
  <r>
    <x v="0"/>
    <x v="4"/>
    <x v="2"/>
  </r>
  <r>
    <x v="0"/>
    <x v="5"/>
    <x v="3"/>
  </r>
  <r>
    <x v="0"/>
    <x v="6"/>
    <x v="3"/>
  </r>
  <r>
    <x v="2"/>
    <x v="7"/>
    <x v="4"/>
  </r>
  <r>
    <x v="0"/>
    <x v="8"/>
    <x v="4"/>
  </r>
  <r>
    <x v="1"/>
    <x v="9"/>
    <x v="5"/>
  </r>
  <r>
    <x v="0"/>
    <x v="10"/>
    <x v="5"/>
  </r>
  <r>
    <x v="0"/>
    <x v="11"/>
    <x v="6"/>
  </r>
  <r>
    <x v="0"/>
    <x v="12"/>
    <x v="6"/>
  </r>
  <r>
    <x v="3"/>
    <x v="13"/>
    <x v="7"/>
  </r>
  <r>
    <x v="4"/>
    <x v="14"/>
    <x v="7"/>
  </r>
  <r>
    <x v="0"/>
    <x v="15"/>
    <x v="8"/>
  </r>
  <r>
    <x v="0"/>
    <x v="16"/>
    <x v="8"/>
  </r>
  <r>
    <x v="2"/>
    <x v="17"/>
    <x v="9"/>
  </r>
  <r>
    <x v="4"/>
    <x v="18"/>
    <x v="9"/>
  </r>
  <r>
    <x v="0"/>
    <x v="19"/>
    <x v="10"/>
  </r>
  <r>
    <x v="0"/>
    <x v="20"/>
    <x v="10"/>
  </r>
  <r>
    <x v="3"/>
    <x v="21"/>
    <x v="11"/>
  </r>
  <r>
    <x v="0"/>
    <x v="22"/>
    <x v="11"/>
  </r>
  <r>
    <x v="0"/>
    <x v="23"/>
    <x v="12"/>
  </r>
  <r>
    <x v="0"/>
    <x v="24"/>
    <x v="12"/>
  </r>
  <r>
    <x v="0"/>
    <x v="25"/>
    <x v="13"/>
  </r>
  <r>
    <x v="1"/>
    <x v="26"/>
    <x v="13"/>
  </r>
  <r>
    <x v="2"/>
    <x v="27"/>
    <x v="14"/>
  </r>
  <r>
    <x v="0"/>
    <x v="28"/>
    <x v="14"/>
  </r>
  <r>
    <x v="0"/>
    <x v="29"/>
    <x v="15"/>
  </r>
  <r>
    <x v="0"/>
    <x v="30"/>
    <x v="15"/>
  </r>
  <r>
    <x v="0"/>
    <x v="31"/>
    <x v="16"/>
  </r>
  <r>
    <x v="0"/>
    <x v="32"/>
    <x v="16"/>
  </r>
  <r>
    <x v="2"/>
    <x v="33"/>
    <x v="17"/>
  </r>
  <r>
    <x v="0"/>
    <x v="34"/>
    <x v="17"/>
  </r>
  <r>
    <x v="3"/>
    <x v="35"/>
    <x v="18"/>
  </r>
  <r>
    <x v="0"/>
    <x v="36"/>
    <x v="18"/>
  </r>
  <r>
    <x v="0"/>
    <x v="37"/>
    <x v="19"/>
  </r>
  <r>
    <x v="0"/>
    <x v="38"/>
    <x v="19"/>
  </r>
  <r>
    <x v="0"/>
    <x v="39"/>
    <x v="20"/>
  </r>
  <r>
    <x v="0"/>
    <x v="40"/>
    <x v="20"/>
  </r>
  <r>
    <x v="0"/>
    <x v="41"/>
    <x v="21"/>
  </r>
  <r>
    <x v="0"/>
    <x v="42"/>
    <x v="21"/>
  </r>
  <r>
    <x v="0"/>
    <x v="43"/>
    <x v="22"/>
  </r>
  <r>
    <x v="0"/>
    <x v="44"/>
    <x v="22"/>
  </r>
  <r>
    <x v="2"/>
    <x v="45"/>
    <x v="23"/>
  </r>
  <r>
    <x v="0"/>
    <x v="46"/>
    <x v="23"/>
  </r>
  <r>
    <x v="1"/>
    <x v="47"/>
    <x v="24"/>
  </r>
  <r>
    <x v="0"/>
    <x v="48"/>
    <x v="24"/>
  </r>
  <r>
    <x v="5"/>
    <x v="49"/>
    <x v="25"/>
  </r>
  <r>
    <x v="0"/>
    <x v="50"/>
    <x v="25"/>
  </r>
  <r>
    <x v="0"/>
    <x v="51"/>
    <x v="26"/>
  </r>
  <r>
    <x v="0"/>
    <x v="52"/>
    <x v="26"/>
  </r>
  <r>
    <x v="0"/>
    <x v="53"/>
    <x v="27"/>
  </r>
  <r>
    <x v="4"/>
    <x v="54"/>
    <x v="27"/>
  </r>
  <r>
    <x v="0"/>
    <x v="55"/>
    <x v="28"/>
  </r>
  <r>
    <x v="0"/>
    <x v="56"/>
    <x v="28"/>
  </r>
  <r>
    <x v="0"/>
    <x v="57"/>
    <x v="29"/>
  </r>
  <r>
    <x v="4"/>
    <x v="58"/>
    <x v="29"/>
  </r>
  <r>
    <x v="0"/>
    <x v="59"/>
    <x v="30"/>
  </r>
  <r>
    <x v="4"/>
    <x v="60"/>
    <x v="30"/>
  </r>
  <r>
    <x v="0"/>
    <x v="61"/>
    <x v="31"/>
  </r>
  <r>
    <x v="0"/>
    <x v="62"/>
    <x v="31"/>
  </r>
  <r>
    <x v="0"/>
    <x v="63"/>
    <x v="32"/>
  </r>
  <r>
    <x v="0"/>
    <x v="64"/>
    <x v="32"/>
  </r>
  <r>
    <x v="0"/>
    <x v="65"/>
    <x v="33"/>
  </r>
  <r>
    <x v="0"/>
    <x v="66"/>
    <x v="33"/>
  </r>
  <r>
    <x v="0"/>
    <x v="67"/>
    <x v="34"/>
  </r>
  <r>
    <x v="0"/>
    <x v="68"/>
    <x v="34"/>
  </r>
  <r>
    <x v="0"/>
    <x v="69"/>
    <x v="35"/>
  </r>
  <r>
    <x v="4"/>
    <x v="70"/>
    <x v="35"/>
  </r>
  <r>
    <x v="0"/>
    <x v="71"/>
    <x v="36"/>
  </r>
  <r>
    <x v="0"/>
    <x v="72"/>
    <x v="36"/>
  </r>
  <r>
    <x v="4"/>
    <x v="73"/>
    <x v="37"/>
  </r>
  <r>
    <x v="0"/>
    <x v="74"/>
    <x v="37"/>
  </r>
  <r>
    <x v="4"/>
    <x v="75"/>
    <x v="38"/>
  </r>
  <r>
    <x v="0"/>
    <x v="76"/>
    <x v="38"/>
  </r>
  <r>
    <x v="2"/>
    <x v="77"/>
    <x v="39"/>
  </r>
  <r>
    <x v="0"/>
    <x v="78"/>
    <x v="39"/>
  </r>
  <r>
    <x v="0"/>
    <x v="79"/>
    <x v="40"/>
  </r>
  <r>
    <x v="0"/>
    <x v="80"/>
    <x v="40"/>
  </r>
  <r>
    <x v="1"/>
    <x v="81"/>
    <x v="41"/>
  </r>
  <r>
    <x v="0"/>
    <x v="82"/>
    <x v="41"/>
  </r>
  <r>
    <x v="3"/>
    <x v="83"/>
    <x v="42"/>
  </r>
  <r>
    <x v="4"/>
    <x v="84"/>
    <x v="42"/>
  </r>
  <r>
    <x v="0"/>
    <x v="85"/>
    <x v="43"/>
  </r>
  <r>
    <x v="0"/>
    <x v="86"/>
    <x v="43"/>
  </r>
  <r>
    <x v="0"/>
    <x v="87"/>
    <x v="44"/>
  </r>
  <r>
    <x v="0"/>
    <x v="88"/>
    <x v="44"/>
  </r>
  <r>
    <x v="0"/>
    <x v="89"/>
    <x v="45"/>
  </r>
  <r>
    <x v="0"/>
    <x v="90"/>
    <x v="45"/>
  </r>
  <r>
    <x v="3"/>
    <x v="91"/>
    <x v="46"/>
  </r>
  <r>
    <x v="0"/>
    <x v="92"/>
    <x v="46"/>
  </r>
  <r>
    <x v="2"/>
    <x v="93"/>
    <x v="47"/>
  </r>
  <r>
    <x v="4"/>
    <x v="94"/>
    <x v="47"/>
  </r>
  <r>
    <x v="0"/>
    <x v="95"/>
    <x v="48"/>
  </r>
  <r>
    <x v="4"/>
    <x v="96"/>
    <x v="48"/>
  </r>
  <r>
    <x v="2"/>
    <x v="97"/>
    <x v="49"/>
  </r>
  <r>
    <x v="0"/>
    <x v="98"/>
    <x v="49"/>
  </r>
  <r>
    <x v="2"/>
    <x v="99"/>
    <x v="50"/>
  </r>
  <r>
    <x v="0"/>
    <x v="100"/>
    <x v="50"/>
  </r>
  <r>
    <x v="0"/>
    <x v="101"/>
    <x v="51"/>
  </r>
  <r>
    <x v="0"/>
    <x v="102"/>
    <x v="51"/>
  </r>
  <r>
    <x v="3"/>
    <x v="103"/>
    <x v="52"/>
  </r>
  <r>
    <x v="0"/>
    <x v="104"/>
    <x v="52"/>
  </r>
  <r>
    <x v="2"/>
    <x v="105"/>
    <x v="53"/>
  </r>
  <r>
    <x v="0"/>
    <x v="106"/>
    <x v="53"/>
  </r>
  <r>
    <x v="1"/>
    <x v="107"/>
    <x v="54"/>
  </r>
  <r>
    <x v="0"/>
    <x v="108"/>
    <x v="54"/>
  </r>
  <r>
    <x v="0"/>
    <x v="109"/>
    <x v="55"/>
  </r>
  <r>
    <x v="0"/>
    <x v="110"/>
    <x v="55"/>
  </r>
  <r>
    <x v="0"/>
    <x v="111"/>
    <x v="56"/>
  </r>
  <r>
    <x v="0"/>
    <x v="112"/>
    <x v="56"/>
  </r>
  <r>
    <x v="0"/>
    <x v="113"/>
    <x v="57"/>
  </r>
  <r>
    <x v="0"/>
    <x v="114"/>
    <x v="57"/>
  </r>
  <r>
    <x v="0"/>
    <x v="115"/>
    <x v="58"/>
  </r>
  <r>
    <x v="0"/>
    <x v="116"/>
    <x v="58"/>
  </r>
  <r>
    <x v="0"/>
    <x v="117"/>
    <x v="59"/>
  </r>
  <r>
    <x v="0"/>
    <x v="118"/>
    <x v="59"/>
  </r>
  <r>
    <x v="0"/>
    <x v="119"/>
    <x v="60"/>
  </r>
  <r>
    <x v="0"/>
    <x v="120"/>
    <x v="60"/>
  </r>
  <r>
    <x v="0"/>
    <x v="121"/>
    <x v="61"/>
  </r>
  <r>
    <x v="0"/>
    <x v="122"/>
    <x v="61"/>
  </r>
  <r>
    <x v="0"/>
    <x v="123"/>
    <x v="62"/>
  </r>
  <r>
    <x v="0"/>
    <x v="124"/>
    <x v="62"/>
  </r>
  <r>
    <x v="5"/>
    <x v="125"/>
    <x v="63"/>
  </r>
  <r>
    <x v="0"/>
    <x v="126"/>
    <x v="63"/>
  </r>
  <r>
    <x v="2"/>
    <x v="127"/>
    <x v="64"/>
  </r>
  <r>
    <x v="0"/>
    <x v="128"/>
    <x v="64"/>
  </r>
  <r>
    <x v="3"/>
    <x v="129"/>
    <x v="65"/>
  </r>
  <r>
    <x v="0"/>
    <x v="130"/>
    <x v="65"/>
  </r>
  <r>
    <x v="0"/>
    <x v="131"/>
    <x v="66"/>
  </r>
  <r>
    <x v="0"/>
    <x v="132"/>
    <x v="66"/>
  </r>
  <r>
    <x v="0"/>
    <x v="133"/>
    <x v="67"/>
  </r>
  <r>
    <x v="0"/>
    <x v="134"/>
    <x v="67"/>
  </r>
  <r>
    <x v="0"/>
    <x v="135"/>
    <x v="68"/>
  </r>
  <r>
    <x v="0"/>
    <x v="136"/>
    <x v="68"/>
  </r>
  <r>
    <x v="0"/>
    <x v="137"/>
    <x v="69"/>
  </r>
  <r>
    <x v="0"/>
    <x v="138"/>
    <x v="69"/>
  </r>
  <r>
    <x v="0"/>
    <x v="139"/>
    <x v="70"/>
  </r>
  <r>
    <x v="0"/>
    <x v="140"/>
    <x v="70"/>
  </r>
  <r>
    <x v="0"/>
    <x v="141"/>
    <x v="71"/>
  </r>
  <r>
    <x v="0"/>
    <x v="142"/>
    <x v="71"/>
  </r>
  <r>
    <x v="0"/>
    <x v="143"/>
    <x v="72"/>
  </r>
  <r>
    <x v="0"/>
    <x v="144"/>
    <x v="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DBBCD2-77D5-214A-BFD0-C2F50FB70BA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55" firstHeaderRow="1" firstDataRow="1" firstDataCol="1"/>
  <pivotFields count="3">
    <pivotField axis="axisRow" showAll="0">
      <items count="7">
        <item x="4"/>
        <item x="1"/>
        <item x="5"/>
        <item x="3"/>
        <item x="0"/>
        <item x="2"/>
        <item t="default"/>
      </items>
    </pivotField>
    <pivotField axis="axisRow" showAll="0">
      <items count="146">
        <item x="43"/>
        <item x="89"/>
        <item x="79"/>
        <item x="51"/>
        <item x="37"/>
        <item x="54"/>
        <item x="58"/>
        <item x="96"/>
        <item x="84"/>
        <item x="18"/>
        <item x="70"/>
        <item x="60"/>
        <item x="14"/>
        <item x="94"/>
        <item x="120"/>
        <item x="0"/>
        <item x="61"/>
        <item x="55"/>
        <item x="85"/>
        <item x="23"/>
        <item x="53"/>
        <item x="5"/>
        <item x="39"/>
        <item x="11"/>
        <item x="1"/>
        <item x="48"/>
        <item x="31"/>
        <item x="75"/>
        <item x="73"/>
        <item x="49"/>
        <item x="129"/>
        <item x="83"/>
        <item x="91"/>
        <item x="103"/>
        <item x="21"/>
        <item x="13"/>
        <item x="35"/>
        <item x="19"/>
        <item x="41"/>
        <item x="65"/>
        <item x="15"/>
        <item x="3"/>
        <item x="132"/>
        <item x="12"/>
        <item x="126"/>
        <item x="29"/>
        <item x="63"/>
        <item x="101"/>
        <item x="95"/>
        <item x="77"/>
        <item x="38"/>
        <item x="125"/>
        <item x="100"/>
        <item x="123"/>
        <item x="119"/>
        <item x="74"/>
        <item x="22"/>
        <item x="25"/>
        <item x="68"/>
        <item x="10"/>
        <item x="76"/>
        <item x="88"/>
        <item x="44"/>
        <item x="32"/>
        <item x="131"/>
        <item x="102"/>
        <item x="108"/>
        <item x="34"/>
        <item x="78"/>
        <item x="8"/>
        <item x="98"/>
        <item x="134"/>
        <item x="128"/>
        <item x="121"/>
        <item x="104"/>
        <item x="20"/>
        <item x="2"/>
        <item x="111"/>
        <item x="56"/>
        <item x="109"/>
        <item x="28"/>
        <item x="67"/>
        <item x="59"/>
        <item x="143"/>
        <item x="136"/>
        <item x="144"/>
        <item x="40"/>
        <item x="42"/>
        <item x="115"/>
        <item x="4"/>
        <item x="141"/>
        <item x="140"/>
        <item x="106"/>
        <item x="138"/>
        <item x="92"/>
        <item x="46"/>
        <item x="64"/>
        <item x="112"/>
        <item x="86"/>
        <item x="52"/>
        <item x="71"/>
        <item x="110"/>
        <item x="50"/>
        <item x="130"/>
        <item x="30"/>
        <item x="137"/>
        <item x="133"/>
        <item x="66"/>
        <item x="16"/>
        <item x="87"/>
        <item x="80"/>
        <item x="90"/>
        <item x="36"/>
        <item x="139"/>
        <item x="135"/>
        <item x="62"/>
        <item x="57"/>
        <item x="122"/>
        <item x="113"/>
        <item x="82"/>
        <item x="6"/>
        <item x="117"/>
        <item x="72"/>
        <item x="118"/>
        <item x="114"/>
        <item x="124"/>
        <item x="24"/>
        <item x="116"/>
        <item x="97"/>
        <item x="26"/>
        <item x="47"/>
        <item x="17"/>
        <item x="27"/>
        <item x="142"/>
        <item x="99"/>
        <item x="81"/>
        <item x="105"/>
        <item x="45"/>
        <item x="93"/>
        <item x="107"/>
        <item x="33"/>
        <item x="7"/>
        <item x="9"/>
        <item x="127"/>
        <item x="69"/>
        <item t="default"/>
      </items>
    </pivotField>
    <pivotField dataField="1" showAll="0">
      <items count="74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</pivotFields>
  <rowFields count="2">
    <field x="0"/>
    <field x="1"/>
  </rowFields>
  <rowItems count="152">
    <i>
      <x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27"/>
    </i>
    <i r="1">
      <x v="28"/>
    </i>
    <i>
      <x v="1"/>
    </i>
    <i r="1">
      <x v="24"/>
    </i>
    <i r="1">
      <x v="129"/>
    </i>
    <i r="1">
      <x v="130"/>
    </i>
    <i r="1">
      <x v="135"/>
    </i>
    <i r="1">
      <x v="139"/>
    </i>
    <i r="1">
      <x v="142"/>
    </i>
    <i>
      <x v="2"/>
    </i>
    <i r="1">
      <x v="29"/>
    </i>
    <i r="1">
      <x v="51"/>
    </i>
    <i>
      <x v="3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4"/>
    </i>
    <i r="1">
      <x/>
    </i>
    <i r="1">
      <x v="1"/>
    </i>
    <i r="1">
      <x v="2"/>
    </i>
    <i r="1">
      <x v="3"/>
    </i>
    <i r="1">
      <x v="4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5"/>
    </i>
    <i r="1">
      <x v="2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0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33"/>
    </i>
    <i r="1">
      <x v="144"/>
    </i>
    <i>
      <x v="5"/>
    </i>
    <i r="1">
      <x v="49"/>
    </i>
    <i r="1">
      <x v="128"/>
    </i>
    <i r="1">
      <x v="131"/>
    </i>
    <i r="1">
      <x v="132"/>
    </i>
    <i r="1">
      <x v="134"/>
    </i>
    <i r="1">
      <x v="136"/>
    </i>
    <i r="1">
      <x v="137"/>
    </i>
    <i r="1">
      <x v="138"/>
    </i>
    <i r="1">
      <x v="140"/>
    </i>
    <i r="1">
      <x v="141"/>
    </i>
    <i r="1">
      <x v="143"/>
    </i>
    <i t="grand">
      <x/>
    </i>
  </rowItems>
  <colItems count="1">
    <i/>
  </colItems>
  <dataFields count="1">
    <dataField name="Sum of Size in byte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umamexico.com/tienda/arquitectura-bioclimatica-diseno-nuevo/" TargetMode="External"/><Relationship Id="rId7" Type="http://schemas.openxmlformats.org/officeDocument/2006/relationships/hyperlink" Target="https://umamexico.com/tienda/restauracion-ecosistemica/" TargetMode="External"/><Relationship Id="rId2" Type="http://schemas.openxmlformats.org/officeDocument/2006/relationships/hyperlink" Target="https://umamexico.com/especialidades/" TargetMode="External"/><Relationship Id="rId1" Type="http://schemas.openxmlformats.org/officeDocument/2006/relationships/pivotTable" Target="../pivotTables/pivotTable1.xml"/><Relationship Id="rId6" Type="http://schemas.openxmlformats.org/officeDocument/2006/relationships/hyperlink" Target="https://umamexico.com/tienda/incidencia-en-conflictos-socioambientales/" TargetMode="External"/><Relationship Id="rId5" Type="http://schemas.openxmlformats.org/officeDocument/2006/relationships/hyperlink" Target="https://umamexico.com/tienda/evaluacion-sistemica-de-proyectos/" TargetMode="External"/><Relationship Id="rId4" Type="http://schemas.openxmlformats.org/officeDocument/2006/relationships/hyperlink" Target="https://umamexico.com/tienda/arquitectura-bioclimatic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58808-53FE-2F42-A602-5A0766CB2E40}">
  <dimension ref="A3:X169"/>
  <sheetViews>
    <sheetView topLeftCell="N162" workbookViewId="0">
      <selection activeCell="T186" sqref="T186"/>
    </sheetView>
  </sheetViews>
  <sheetFormatPr baseColWidth="10" defaultRowHeight="16" x14ac:dyDescent="0.2"/>
  <cols>
    <col min="1" max="1" width="117.1640625" bestFit="1" customWidth="1"/>
    <col min="2" max="2" width="17.33203125" bestFit="1" customWidth="1"/>
    <col min="3" max="22" width="16" bestFit="1" customWidth="1"/>
    <col min="23" max="23" width="30.83203125" customWidth="1"/>
    <col min="24" max="73" width="16" bestFit="1" customWidth="1"/>
    <col min="74" max="75" width="10.5" bestFit="1" customWidth="1"/>
  </cols>
  <sheetData>
    <row r="3" spans="1:24" x14ac:dyDescent="0.2">
      <c r="A3" s="4" t="s">
        <v>172</v>
      </c>
      <c r="B3" t="s">
        <v>171</v>
      </c>
      <c r="W3" s="9" t="s">
        <v>148</v>
      </c>
      <c r="X3" s="9" t="s">
        <v>173</v>
      </c>
    </row>
    <row r="4" spans="1:24" x14ac:dyDescent="0.2">
      <c r="A4" s="5" t="s">
        <v>155</v>
      </c>
      <c r="B4">
        <v>1737608</v>
      </c>
      <c r="W4" s="12" t="s">
        <v>329</v>
      </c>
      <c r="X4" s="10">
        <v>335251</v>
      </c>
    </row>
    <row r="5" spans="1:24" x14ac:dyDescent="0.2">
      <c r="A5" s="8" t="s">
        <v>95</v>
      </c>
      <c r="B5">
        <v>159287</v>
      </c>
      <c r="W5" s="12" t="s">
        <v>330</v>
      </c>
      <c r="X5" s="10">
        <v>227743</v>
      </c>
    </row>
    <row r="6" spans="1:24" x14ac:dyDescent="0.2">
      <c r="A6" s="8" t="s">
        <v>142</v>
      </c>
      <c r="B6">
        <v>156116</v>
      </c>
      <c r="W6" s="12" t="s">
        <v>331</v>
      </c>
      <c r="X6" s="10">
        <v>182377</v>
      </c>
    </row>
    <row r="7" spans="1:24" x14ac:dyDescent="0.2">
      <c r="A7" s="8" t="s">
        <v>97</v>
      </c>
      <c r="B7">
        <v>145895</v>
      </c>
      <c r="W7" s="12" t="s">
        <v>332</v>
      </c>
      <c r="X7" s="10">
        <v>163804</v>
      </c>
    </row>
    <row r="8" spans="1:24" x14ac:dyDescent="0.2">
      <c r="A8" s="8" t="s">
        <v>98</v>
      </c>
      <c r="B8">
        <v>146451</v>
      </c>
      <c r="W8" s="12" t="s">
        <v>333</v>
      </c>
      <c r="X8" s="10">
        <v>146585</v>
      </c>
    </row>
    <row r="9" spans="1:24" x14ac:dyDescent="0.2">
      <c r="A9" s="8" t="s">
        <v>94</v>
      </c>
      <c r="B9">
        <v>188891</v>
      </c>
      <c r="W9" s="12" t="s">
        <v>334</v>
      </c>
      <c r="X9" s="10">
        <v>145721</v>
      </c>
    </row>
    <row r="10" spans="1:24" x14ac:dyDescent="0.2">
      <c r="A10" s="8" t="s">
        <v>96</v>
      </c>
      <c r="B10">
        <v>148984</v>
      </c>
    </row>
    <row r="11" spans="1:24" x14ac:dyDescent="0.2">
      <c r="A11" s="8" t="s">
        <v>141</v>
      </c>
      <c r="B11">
        <v>152587</v>
      </c>
    </row>
    <row r="12" spans="1:24" x14ac:dyDescent="0.2">
      <c r="A12" s="8" t="s">
        <v>92</v>
      </c>
      <c r="B12">
        <v>198575</v>
      </c>
    </row>
    <row r="13" spans="1:24" x14ac:dyDescent="0.2">
      <c r="A13" s="8" t="s">
        <v>93</v>
      </c>
      <c r="B13">
        <v>145899</v>
      </c>
    </row>
    <row r="14" spans="1:24" x14ac:dyDescent="0.2">
      <c r="A14" s="8" t="s">
        <v>29</v>
      </c>
      <c r="B14">
        <v>147126</v>
      </c>
    </row>
    <row r="15" spans="1:24" x14ac:dyDescent="0.2">
      <c r="A15" s="8" t="s">
        <v>31</v>
      </c>
      <c r="B15">
        <v>147797</v>
      </c>
    </row>
    <row r="16" spans="1:24" x14ac:dyDescent="0.2">
      <c r="A16" s="5" t="s">
        <v>148</v>
      </c>
      <c r="B16">
        <v>1201481</v>
      </c>
    </row>
    <row r="17" spans="1:2" x14ac:dyDescent="0.2">
      <c r="A17" s="8" t="s">
        <v>17</v>
      </c>
      <c r="B17">
        <v>335251</v>
      </c>
    </row>
    <row r="18" spans="1:2" x14ac:dyDescent="0.2">
      <c r="A18" s="8" t="s">
        <v>140</v>
      </c>
      <c r="B18">
        <v>182377</v>
      </c>
    </row>
    <row r="19" spans="1:2" x14ac:dyDescent="0.2">
      <c r="A19" s="8" t="s">
        <v>13</v>
      </c>
      <c r="B19">
        <v>163804</v>
      </c>
    </row>
    <row r="20" spans="1:2" x14ac:dyDescent="0.2">
      <c r="A20" s="8" t="s">
        <v>36</v>
      </c>
      <c r="B20">
        <v>146585</v>
      </c>
    </row>
    <row r="21" spans="1:2" x14ac:dyDescent="0.2">
      <c r="A21" s="8" t="s">
        <v>40</v>
      </c>
      <c r="B21">
        <v>145721</v>
      </c>
    </row>
    <row r="22" spans="1:2" x14ac:dyDescent="0.2">
      <c r="A22" s="8" t="s">
        <v>4</v>
      </c>
      <c r="B22">
        <v>227743</v>
      </c>
    </row>
    <row r="23" spans="1:2" x14ac:dyDescent="0.2">
      <c r="A23" s="5" t="s">
        <v>147</v>
      </c>
      <c r="B23">
        <v>306629</v>
      </c>
    </row>
    <row r="24" spans="1:2" x14ac:dyDescent="0.2">
      <c r="A24" s="8" t="s">
        <v>2</v>
      </c>
      <c r="B24">
        <v>161506</v>
      </c>
    </row>
    <row r="25" spans="1:2" x14ac:dyDescent="0.2">
      <c r="A25" s="8" t="s">
        <v>65</v>
      </c>
      <c r="B25">
        <v>145123</v>
      </c>
    </row>
    <row r="26" spans="1:2" x14ac:dyDescent="0.2">
      <c r="A26" s="5" t="s">
        <v>146</v>
      </c>
      <c r="B26">
        <v>1142439</v>
      </c>
    </row>
    <row r="27" spans="1:2" x14ac:dyDescent="0.2">
      <c r="A27" s="8" t="s">
        <v>44</v>
      </c>
      <c r="B27">
        <v>145030</v>
      </c>
    </row>
    <row r="28" spans="1:2" x14ac:dyDescent="0.2">
      <c r="A28" s="8" t="s">
        <v>26</v>
      </c>
      <c r="B28">
        <v>146451</v>
      </c>
    </row>
    <row r="29" spans="1:2" x14ac:dyDescent="0.2">
      <c r="A29" s="8" t="s">
        <v>37</v>
      </c>
      <c r="B29">
        <v>146007</v>
      </c>
    </row>
    <row r="30" spans="1:2" x14ac:dyDescent="0.2">
      <c r="A30" s="8" t="s">
        <v>34</v>
      </c>
      <c r="B30">
        <v>145828</v>
      </c>
    </row>
    <row r="31" spans="1:2" x14ac:dyDescent="0.2">
      <c r="A31" s="8" t="s">
        <v>42</v>
      </c>
      <c r="B31">
        <v>188667</v>
      </c>
    </row>
    <row r="32" spans="1:2" x14ac:dyDescent="0.2">
      <c r="A32" s="8" t="s">
        <v>20</v>
      </c>
      <c r="B32">
        <v>198575</v>
      </c>
    </row>
    <row r="33" spans="1:24" x14ac:dyDescent="0.2">
      <c r="A33" s="8" t="s">
        <v>47</v>
      </c>
      <c r="B33">
        <v>171881</v>
      </c>
    </row>
    <row r="34" spans="1:24" x14ac:dyDescent="0.2">
      <c r="A34" s="5" t="s">
        <v>167</v>
      </c>
      <c r="B34">
        <v>18300133</v>
      </c>
    </row>
    <row r="35" spans="1:24" x14ac:dyDescent="0.2">
      <c r="A35" s="8" t="s">
        <v>144</v>
      </c>
      <c r="B35">
        <v>165512</v>
      </c>
    </row>
    <row r="36" spans="1:24" x14ac:dyDescent="0.2">
      <c r="A36" s="8" t="s">
        <v>33</v>
      </c>
      <c r="B36">
        <v>146019</v>
      </c>
    </row>
    <row r="37" spans="1:24" x14ac:dyDescent="0.2">
      <c r="A37" s="8" t="s">
        <v>28</v>
      </c>
      <c r="B37">
        <v>146735</v>
      </c>
    </row>
    <row r="38" spans="1:24" x14ac:dyDescent="0.2">
      <c r="A38" s="8" t="s">
        <v>3</v>
      </c>
      <c r="B38">
        <v>161011</v>
      </c>
    </row>
    <row r="39" spans="1:24" x14ac:dyDescent="0.2">
      <c r="A39" s="8" t="s">
        <v>14</v>
      </c>
      <c r="B39">
        <v>169612</v>
      </c>
      <c r="O39" s="7" t="s">
        <v>166</v>
      </c>
      <c r="P39" s="7" t="s">
        <v>173</v>
      </c>
    </row>
    <row r="40" spans="1:24" x14ac:dyDescent="0.2">
      <c r="A40" s="8" t="s">
        <v>136</v>
      </c>
      <c r="B40">
        <v>145349</v>
      </c>
      <c r="O40" s="6" t="s">
        <v>147</v>
      </c>
      <c r="P40" s="6">
        <v>306629</v>
      </c>
      <c r="W40" s="7" t="s">
        <v>153</v>
      </c>
      <c r="X40" s="7" t="s">
        <v>173</v>
      </c>
    </row>
    <row r="41" spans="1:24" x14ac:dyDescent="0.2">
      <c r="A41" s="8" t="s">
        <v>145</v>
      </c>
      <c r="B41">
        <v>649575</v>
      </c>
      <c r="O41" s="6" t="s">
        <v>146</v>
      </c>
      <c r="P41" s="6">
        <v>1142439</v>
      </c>
      <c r="W41" s="11" t="s">
        <v>318</v>
      </c>
      <c r="X41" s="6">
        <v>269661</v>
      </c>
    </row>
    <row r="42" spans="1:24" x14ac:dyDescent="0.2">
      <c r="A42" s="8" t="s">
        <v>35</v>
      </c>
      <c r="B42">
        <v>150932</v>
      </c>
      <c r="O42" s="6" t="s">
        <v>148</v>
      </c>
      <c r="P42" s="6">
        <v>1201481</v>
      </c>
      <c r="W42" s="11" t="s">
        <v>319</v>
      </c>
      <c r="X42" s="6">
        <v>188891</v>
      </c>
    </row>
    <row r="43" spans="1:24" x14ac:dyDescent="0.2">
      <c r="A43" s="8" t="s">
        <v>8</v>
      </c>
      <c r="B43">
        <v>158899</v>
      </c>
      <c r="O43" s="6" t="s">
        <v>155</v>
      </c>
      <c r="P43" s="6">
        <v>1737608</v>
      </c>
      <c r="W43" s="11" t="s">
        <v>320</v>
      </c>
      <c r="X43" s="6">
        <v>178751</v>
      </c>
    </row>
    <row r="44" spans="1:24" x14ac:dyDescent="0.2">
      <c r="A44" s="8" t="s">
        <v>39</v>
      </c>
      <c r="B44">
        <v>146292</v>
      </c>
      <c r="O44" s="6" t="s">
        <v>153</v>
      </c>
      <c r="P44" s="6">
        <v>1848897</v>
      </c>
      <c r="W44" s="11" t="s">
        <v>321</v>
      </c>
      <c r="X44" s="6">
        <v>172198</v>
      </c>
    </row>
    <row r="45" spans="1:24" x14ac:dyDescent="0.2">
      <c r="A45" s="8" t="s">
        <v>10</v>
      </c>
      <c r="B45">
        <v>186089</v>
      </c>
      <c r="W45" s="11" t="s">
        <v>322</v>
      </c>
      <c r="X45" s="6">
        <v>164059</v>
      </c>
    </row>
    <row r="46" spans="1:24" x14ac:dyDescent="0.2">
      <c r="A46" s="8" t="s">
        <v>23</v>
      </c>
      <c r="B46">
        <v>159287</v>
      </c>
      <c r="W46" s="11" t="s">
        <v>323</v>
      </c>
      <c r="X46" s="6">
        <v>146833</v>
      </c>
    </row>
    <row r="47" spans="1:24" x14ac:dyDescent="0.2">
      <c r="A47" s="8" t="s">
        <v>9</v>
      </c>
      <c r="B47">
        <v>276241</v>
      </c>
      <c r="W47" s="11" t="s">
        <v>324</v>
      </c>
      <c r="X47" s="6">
        <v>145899</v>
      </c>
    </row>
    <row r="48" spans="1:24" x14ac:dyDescent="0.2">
      <c r="A48" s="8" t="s">
        <v>19</v>
      </c>
      <c r="B48">
        <v>169034</v>
      </c>
      <c r="W48" s="11" t="s">
        <v>325</v>
      </c>
      <c r="X48" s="6">
        <v>145866</v>
      </c>
    </row>
    <row r="49" spans="1:24" x14ac:dyDescent="0.2">
      <c r="A49" s="8" t="s">
        <v>16</v>
      </c>
      <c r="B49">
        <v>223086</v>
      </c>
      <c r="W49" s="11" t="s">
        <v>326</v>
      </c>
      <c r="X49" s="6">
        <v>145860</v>
      </c>
    </row>
    <row r="50" spans="1:24" x14ac:dyDescent="0.2">
      <c r="A50" s="8" t="s">
        <v>85</v>
      </c>
      <c r="B50">
        <v>163804</v>
      </c>
      <c r="W50" s="11" t="s">
        <v>327</v>
      </c>
      <c r="X50" s="6">
        <v>145814</v>
      </c>
    </row>
    <row r="51" spans="1:24" x14ac:dyDescent="0.2">
      <c r="A51" s="8" t="s">
        <v>48</v>
      </c>
      <c r="B51">
        <v>172837</v>
      </c>
      <c r="W51" s="11" t="s">
        <v>328</v>
      </c>
      <c r="X51" s="6">
        <v>145065</v>
      </c>
    </row>
    <row r="52" spans="1:24" x14ac:dyDescent="0.2">
      <c r="A52" s="8" t="s">
        <v>5</v>
      </c>
      <c r="B52">
        <v>188670</v>
      </c>
    </row>
    <row r="53" spans="1:24" x14ac:dyDescent="0.2">
      <c r="A53" s="8" t="s">
        <v>0</v>
      </c>
      <c r="B53">
        <v>167870</v>
      </c>
    </row>
    <row r="54" spans="1:24" x14ac:dyDescent="0.2">
      <c r="A54" s="8" t="s">
        <v>1</v>
      </c>
      <c r="B54">
        <v>150084</v>
      </c>
    </row>
    <row r="55" spans="1:24" x14ac:dyDescent="0.2">
      <c r="A55" s="8" t="s">
        <v>7</v>
      </c>
      <c r="B55">
        <v>193693</v>
      </c>
    </row>
    <row r="56" spans="1:24" x14ac:dyDescent="0.2">
      <c r="A56" s="8" t="s">
        <v>18</v>
      </c>
      <c r="B56">
        <v>322284</v>
      </c>
    </row>
    <row r="57" spans="1:24" x14ac:dyDescent="0.2">
      <c r="A57" s="8" t="s">
        <v>139</v>
      </c>
      <c r="B57">
        <v>144991</v>
      </c>
    </row>
    <row r="58" spans="1:24" x14ac:dyDescent="0.2">
      <c r="A58" s="8" t="s">
        <v>88</v>
      </c>
      <c r="B58">
        <v>223086</v>
      </c>
    </row>
    <row r="59" spans="1:24" x14ac:dyDescent="0.2">
      <c r="A59" s="8" t="s">
        <v>137</v>
      </c>
      <c r="B59">
        <v>145123</v>
      </c>
    </row>
    <row r="60" spans="1:24" x14ac:dyDescent="0.2">
      <c r="A60" s="8" t="s">
        <v>46</v>
      </c>
      <c r="B60">
        <v>173101</v>
      </c>
    </row>
    <row r="61" spans="1:24" x14ac:dyDescent="0.2">
      <c r="A61" s="8" t="s">
        <v>32</v>
      </c>
      <c r="B61">
        <v>150930</v>
      </c>
    </row>
    <row r="62" spans="1:24" x14ac:dyDescent="0.2">
      <c r="A62" s="8" t="s">
        <v>27</v>
      </c>
      <c r="B62">
        <v>145834</v>
      </c>
    </row>
    <row r="63" spans="1:24" x14ac:dyDescent="0.2">
      <c r="A63" s="8" t="s">
        <v>25</v>
      </c>
      <c r="B63">
        <v>145895</v>
      </c>
    </row>
    <row r="64" spans="1:24" x14ac:dyDescent="0.2">
      <c r="A64" s="8" t="s">
        <v>86</v>
      </c>
      <c r="B64">
        <v>169612</v>
      </c>
    </row>
    <row r="65" spans="1:2" x14ac:dyDescent="0.2">
      <c r="A65" s="8" t="s">
        <v>110</v>
      </c>
      <c r="B65">
        <v>145860</v>
      </c>
    </row>
    <row r="66" spans="1:2" x14ac:dyDescent="0.2">
      <c r="A66" s="8" t="s">
        <v>51</v>
      </c>
      <c r="B66">
        <v>145142</v>
      </c>
    </row>
    <row r="67" spans="1:2" x14ac:dyDescent="0.2">
      <c r="A67" s="8" t="s">
        <v>64</v>
      </c>
      <c r="B67">
        <v>145349</v>
      </c>
    </row>
    <row r="68" spans="1:2" x14ac:dyDescent="0.2">
      <c r="A68" s="8" t="s">
        <v>103</v>
      </c>
      <c r="B68">
        <v>147797</v>
      </c>
    </row>
    <row r="69" spans="1:2" x14ac:dyDescent="0.2">
      <c r="A69" s="8" t="s">
        <v>114</v>
      </c>
      <c r="B69">
        <v>188667</v>
      </c>
    </row>
    <row r="70" spans="1:2" x14ac:dyDescent="0.2">
      <c r="A70" s="8" t="s">
        <v>68</v>
      </c>
      <c r="B70">
        <v>182377</v>
      </c>
    </row>
    <row r="71" spans="1:2" x14ac:dyDescent="0.2">
      <c r="A71" s="8" t="s">
        <v>131</v>
      </c>
      <c r="B71">
        <v>149833</v>
      </c>
    </row>
    <row r="72" spans="1:2" x14ac:dyDescent="0.2">
      <c r="A72" s="8" t="s">
        <v>76</v>
      </c>
      <c r="B72">
        <v>227743</v>
      </c>
    </row>
    <row r="73" spans="1:2" x14ac:dyDescent="0.2">
      <c r="A73" s="8" t="s">
        <v>101</v>
      </c>
      <c r="B73">
        <v>147126</v>
      </c>
    </row>
    <row r="74" spans="1:2" x14ac:dyDescent="0.2">
      <c r="A74" s="8" t="s">
        <v>135</v>
      </c>
      <c r="B74">
        <v>146286</v>
      </c>
    </row>
    <row r="75" spans="1:2" x14ac:dyDescent="0.2">
      <c r="A75" s="8" t="s">
        <v>71</v>
      </c>
      <c r="B75">
        <v>165512</v>
      </c>
    </row>
    <row r="76" spans="1:2" x14ac:dyDescent="0.2">
      <c r="A76" s="8" t="s">
        <v>120</v>
      </c>
      <c r="B76">
        <v>172837</v>
      </c>
    </row>
    <row r="77" spans="1:2" x14ac:dyDescent="0.2">
      <c r="A77" s="8" t="s">
        <v>67</v>
      </c>
      <c r="B77">
        <v>144991</v>
      </c>
    </row>
    <row r="78" spans="1:2" x14ac:dyDescent="0.2">
      <c r="A78" s="8" t="s">
        <v>99</v>
      </c>
      <c r="B78">
        <v>145834</v>
      </c>
    </row>
    <row r="79" spans="1:2" x14ac:dyDescent="0.2">
      <c r="A79" s="8" t="s">
        <v>112</v>
      </c>
      <c r="B79">
        <v>145721</v>
      </c>
    </row>
    <row r="80" spans="1:2" x14ac:dyDescent="0.2">
      <c r="A80" s="8" t="s">
        <v>87</v>
      </c>
      <c r="B80">
        <v>172198</v>
      </c>
    </row>
    <row r="81" spans="1:24" x14ac:dyDescent="0.2">
      <c r="A81" s="8" t="s">
        <v>115</v>
      </c>
      <c r="B81">
        <v>146833</v>
      </c>
    </row>
    <row r="82" spans="1:24" x14ac:dyDescent="0.2">
      <c r="A82" s="8" t="s">
        <v>78</v>
      </c>
      <c r="B82">
        <v>269661</v>
      </c>
    </row>
    <row r="83" spans="1:24" x14ac:dyDescent="0.2">
      <c r="A83" s="8" t="s">
        <v>102</v>
      </c>
      <c r="B83">
        <v>145866</v>
      </c>
      <c r="W83" s="13" t="s">
        <v>146</v>
      </c>
      <c r="X83" s="14" t="s">
        <v>173</v>
      </c>
    </row>
    <row r="84" spans="1:24" x14ac:dyDescent="0.2">
      <c r="A84" s="8" t="s">
        <v>124</v>
      </c>
      <c r="B84">
        <v>144986</v>
      </c>
      <c r="W84" s="15" t="s">
        <v>340</v>
      </c>
      <c r="X84" s="16">
        <v>198575</v>
      </c>
    </row>
    <row r="85" spans="1:24" x14ac:dyDescent="0.2">
      <c r="A85" s="8" t="s">
        <v>117</v>
      </c>
      <c r="B85">
        <v>145065</v>
      </c>
      <c r="W85" s="15" t="s">
        <v>339</v>
      </c>
      <c r="X85" s="16">
        <v>188667</v>
      </c>
    </row>
    <row r="86" spans="1:24" x14ac:dyDescent="0.2">
      <c r="A86" s="8" t="s">
        <v>61</v>
      </c>
      <c r="B86">
        <v>145235</v>
      </c>
      <c r="W86" s="16" t="s">
        <v>341</v>
      </c>
      <c r="X86" s="16">
        <v>171881</v>
      </c>
    </row>
    <row r="87" spans="1:24" x14ac:dyDescent="0.2">
      <c r="A87" s="8" t="s">
        <v>106</v>
      </c>
      <c r="B87">
        <v>145828</v>
      </c>
      <c r="W87" s="15" t="s">
        <v>336</v>
      </c>
      <c r="X87" s="16">
        <v>146451</v>
      </c>
    </row>
    <row r="88" spans="1:24" x14ac:dyDescent="0.2">
      <c r="A88" s="8" t="s">
        <v>77</v>
      </c>
      <c r="B88">
        <v>188670</v>
      </c>
      <c r="W88" s="15" t="s">
        <v>337</v>
      </c>
      <c r="X88" s="16">
        <v>146007</v>
      </c>
    </row>
    <row r="89" spans="1:24" x14ac:dyDescent="0.2">
      <c r="A89" s="8" t="s">
        <v>89</v>
      </c>
      <c r="B89">
        <v>335251</v>
      </c>
      <c r="W89" s="15" t="s">
        <v>338</v>
      </c>
      <c r="X89" s="16">
        <v>145828</v>
      </c>
    </row>
    <row r="90" spans="1:24" x14ac:dyDescent="0.2">
      <c r="A90" s="8" t="s">
        <v>60</v>
      </c>
      <c r="B90">
        <v>145648</v>
      </c>
      <c r="W90" s="15" t="s">
        <v>335</v>
      </c>
      <c r="X90" s="16">
        <v>145030</v>
      </c>
    </row>
    <row r="91" spans="1:24" x14ac:dyDescent="0.2">
      <c r="A91" s="8" t="s">
        <v>80</v>
      </c>
      <c r="B91">
        <v>158899</v>
      </c>
    </row>
    <row r="92" spans="1:24" x14ac:dyDescent="0.2">
      <c r="A92" s="8" t="s">
        <v>50</v>
      </c>
      <c r="B92">
        <v>145650</v>
      </c>
    </row>
    <row r="93" spans="1:24" x14ac:dyDescent="0.2">
      <c r="A93" s="8" t="s">
        <v>84</v>
      </c>
      <c r="B93">
        <v>178751</v>
      </c>
    </row>
    <row r="94" spans="1:24" x14ac:dyDescent="0.2">
      <c r="A94" s="8" t="s">
        <v>59</v>
      </c>
      <c r="B94">
        <v>149833</v>
      </c>
    </row>
    <row r="95" spans="1:24" x14ac:dyDescent="0.2">
      <c r="A95" s="8" t="s">
        <v>69</v>
      </c>
      <c r="B95">
        <v>152587</v>
      </c>
    </row>
    <row r="96" spans="1:24" x14ac:dyDescent="0.2">
      <c r="A96" s="8" t="s">
        <v>57</v>
      </c>
      <c r="B96">
        <v>144756</v>
      </c>
    </row>
    <row r="97" spans="1:2" x14ac:dyDescent="0.2">
      <c r="A97" s="8" t="s">
        <v>126</v>
      </c>
      <c r="B97">
        <v>144942</v>
      </c>
    </row>
    <row r="98" spans="1:2" x14ac:dyDescent="0.2">
      <c r="A98" s="8" t="s">
        <v>129</v>
      </c>
      <c r="B98">
        <v>144756</v>
      </c>
    </row>
    <row r="99" spans="1:2" x14ac:dyDescent="0.2">
      <c r="A99" s="8" t="s">
        <v>91</v>
      </c>
      <c r="B99">
        <v>169034</v>
      </c>
    </row>
    <row r="100" spans="1:2" x14ac:dyDescent="0.2">
      <c r="A100" s="8" t="s">
        <v>72</v>
      </c>
      <c r="B100">
        <v>167870</v>
      </c>
    </row>
    <row r="101" spans="1:2" x14ac:dyDescent="0.2">
      <c r="A101" s="8" t="s">
        <v>58</v>
      </c>
      <c r="B101">
        <v>145400</v>
      </c>
    </row>
    <row r="102" spans="1:2" x14ac:dyDescent="0.2">
      <c r="A102" s="8" t="s">
        <v>90</v>
      </c>
      <c r="B102">
        <v>322284</v>
      </c>
    </row>
    <row r="103" spans="1:2" x14ac:dyDescent="0.2">
      <c r="A103" s="8" t="s">
        <v>66</v>
      </c>
      <c r="B103">
        <v>144762</v>
      </c>
    </row>
    <row r="104" spans="1:2" x14ac:dyDescent="0.2">
      <c r="A104" s="8" t="s">
        <v>125</v>
      </c>
      <c r="B104">
        <v>144888</v>
      </c>
    </row>
    <row r="105" spans="1:2" x14ac:dyDescent="0.2">
      <c r="A105" s="8" t="s">
        <v>113</v>
      </c>
      <c r="B105">
        <v>145814</v>
      </c>
    </row>
    <row r="106" spans="1:2" x14ac:dyDescent="0.2">
      <c r="A106" s="8" t="s">
        <v>121</v>
      </c>
      <c r="B106">
        <v>144933</v>
      </c>
    </row>
    <row r="107" spans="1:2" x14ac:dyDescent="0.2">
      <c r="A107" s="8" t="s">
        <v>109</v>
      </c>
      <c r="B107">
        <v>146007</v>
      </c>
    </row>
    <row r="108" spans="1:2" x14ac:dyDescent="0.2">
      <c r="A108" s="8" t="s">
        <v>83</v>
      </c>
      <c r="B108">
        <v>164059</v>
      </c>
    </row>
    <row r="109" spans="1:2" x14ac:dyDescent="0.2">
      <c r="A109" s="8" t="s">
        <v>104</v>
      </c>
      <c r="B109">
        <v>150930</v>
      </c>
    </row>
    <row r="110" spans="1:2" x14ac:dyDescent="0.2">
      <c r="A110" s="8" t="s">
        <v>132</v>
      </c>
      <c r="B110">
        <v>145648</v>
      </c>
    </row>
    <row r="111" spans="1:2" x14ac:dyDescent="0.2">
      <c r="A111" s="8" t="s">
        <v>111</v>
      </c>
      <c r="B111">
        <v>146292</v>
      </c>
    </row>
    <row r="112" spans="1:2" x14ac:dyDescent="0.2">
      <c r="A112" s="8" t="s">
        <v>75</v>
      </c>
      <c r="B112">
        <v>161011</v>
      </c>
    </row>
    <row r="113" spans="1:24" x14ac:dyDescent="0.2">
      <c r="A113" s="8" t="s">
        <v>62</v>
      </c>
      <c r="B113">
        <v>148081</v>
      </c>
    </row>
    <row r="114" spans="1:24" x14ac:dyDescent="0.2">
      <c r="A114" s="8" t="s">
        <v>122</v>
      </c>
      <c r="B114">
        <v>145650</v>
      </c>
    </row>
    <row r="115" spans="1:24" x14ac:dyDescent="0.2">
      <c r="A115" s="8" t="s">
        <v>74</v>
      </c>
      <c r="B115">
        <v>161506</v>
      </c>
    </row>
    <row r="116" spans="1:24" x14ac:dyDescent="0.2">
      <c r="A116" s="8" t="s">
        <v>116</v>
      </c>
      <c r="B116">
        <v>145030</v>
      </c>
    </row>
    <row r="117" spans="1:24" x14ac:dyDescent="0.2">
      <c r="A117" s="8" t="s">
        <v>118</v>
      </c>
      <c r="B117">
        <v>173101</v>
      </c>
    </row>
    <row r="118" spans="1:24" x14ac:dyDescent="0.2">
      <c r="A118" s="8" t="s">
        <v>49</v>
      </c>
      <c r="B118">
        <v>144933</v>
      </c>
    </row>
    <row r="119" spans="1:24" x14ac:dyDescent="0.2">
      <c r="A119" s="8" t="s">
        <v>52</v>
      </c>
      <c r="B119">
        <v>144986</v>
      </c>
    </row>
    <row r="120" spans="1:24" x14ac:dyDescent="0.2">
      <c r="A120" s="8" t="s">
        <v>73</v>
      </c>
      <c r="B120">
        <v>150084</v>
      </c>
    </row>
    <row r="121" spans="1:24" x14ac:dyDescent="0.2">
      <c r="A121" s="8" t="s">
        <v>79</v>
      </c>
      <c r="B121">
        <v>193693</v>
      </c>
    </row>
    <row r="122" spans="1:24" x14ac:dyDescent="0.2">
      <c r="A122" s="8" t="s">
        <v>63</v>
      </c>
      <c r="B122">
        <v>146286</v>
      </c>
    </row>
    <row r="123" spans="1:24" x14ac:dyDescent="0.2">
      <c r="A123" s="8" t="s">
        <v>100</v>
      </c>
      <c r="B123">
        <v>146735</v>
      </c>
    </row>
    <row r="124" spans="1:24" x14ac:dyDescent="0.2">
      <c r="A124" s="8" t="s">
        <v>105</v>
      </c>
      <c r="B124">
        <v>146019</v>
      </c>
    </row>
    <row r="125" spans="1:24" x14ac:dyDescent="0.2">
      <c r="A125" s="8" t="s">
        <v>119</v>
      </c>
      <c r="B125">
        <v>171881</v>
      </c>
      <c r="W125" s="9" t="s">
        <v>155</v>
      </c>
      <c r="X125" s="14" t="s">
        <v>173</v>
      </c>
    </row>
    <row r="126" spans="1:24" x14ac:dyDescent="0.2">
      <c r="A126" s="8" t="s">
        <v>53</v>
      </c>
      <c r="B126">
        <v>144888</v>
      </c>
      <c r="W126" s="11" t="s">
        <v>349</v>
      </c>
      <c r="X126" s="10">
        <v>198575</v>
      </c>
    </row>
    <row r="127" spans="1:24" x14ac:dyDescent="0.2">
      <c r="A127" s="8" t="s">
        <v>54</v>
      </c>
      <c r="B127">
        <v>144942</v>
      </c>
      <c r="W127" s="11" t="s">
        <v>346</v>
      </c>
      <c r="X127" s="10">
        <v>188891</v>
      </c>
    </row>
    <row r="128" spans="1:24" x14ac:dyDescent="0.2">
      <c r="A128" s="8" t="s">
        <v>107</v>
      </c>
      <c r="B128">
        <v>150932</v>
      </c>
      <c r="W128" s="11" t="s">
        <v>342</v>
      </c>
      <c r="X128" s="10">
        <v>159287</v>
      </c>
    </row>
    <row r="129" spans="1:24" x14ac:dyDescent="0.2">
      <c r="A129" s="8" t="s">
        <v>70</v>
      </c>
      <c r="B129">
        <v>156116</v>
      </c>
      <c r="W129" s="11" t="s">
        <v>343</v>
      </c>
      <c r="X129" s="10">
        <v>156116</v>
      </c>
    </row>
    <row r="130" spans="1:24" x14ac:dyDescent="0.2">
      <c r="A130" s="8" t="s">
        <v>133</v>
      </c>
      <c r="B130">
        <v>145235</v>
      </c>
      <c r="W130" s="11" t="s">
        <v>348</v>
      </c>
      <c r="X130" s="10">
        <v>152587</v>
      </c>
    </row>
    <row r="131" spans="1:24" x14ac:dyDescent="0.2">
      <c r="A131" s="8" t="s">
        <v>56</v>
      </c>
      <c r="B131">
        <v>145556</v>
      </c>
      <c r="W131" s="11" t="s">
        <v>347</v>
      </c>
      <c r="X131" s="10">
        <v>148984</v>
      </c>
    </row>
    <row r="132" spans="1:24" x14ac:dyDescent="0.2">
      <c r="A132" s="8" t="s">
        <v>108</v>
      </c>
      <c r="B132">
        <v>146585</v>
      </c>
      <c r="W132" s="11" t="s">
        <v>352</v>
      </c>
      <c r="X132" s="10">
        <v>147797</v>
      </c>
    </row>
    <row r="133" spans="1:24" x14ac:dyDescent="0.2">
      <c r="A133" s="8" t="s">
        <v>81</v>
      </c>
      <c r="B133">
        <v>276241</v>
      </c>
      <c r="W133" s="11" t="s">
        <v>351</v>
      </c>
      <c r="X133" s="10">
        <v>147126</v>
      </c>
    </row>
    <row r="134" spans="1:24" x14ac:dyDescent="0.2">
      <c r="A134" s="8" t="s">
        <v>55</v>
      </c>
      <c r="B134">
        <v>145365</v>
      </c>
      <c r="W134" s="11" t="s">
        <v>345</v>
      </c>
      <c r="X134" s="10">
        <v>146451</v>
      </c>
    </row>
    <row r="135" spans="1:24" x14ac:dyDescent="0.2">
      <c r="A135" s="8" t="s">
        <v>134</v>
      </c>
      <c r="B135">
        <v>148081</v>
      </c>
      <c r="W135" s="11" t="s">
        <v>350</v>
      </c>
      <c r="X135" s="10">
        <v>145899</v>
      </c>
    </row>
    <row r="136" spans="1:24" x14ac:dyDescent="0.2">
      <c r="A136" s="8" t="s">
        <v>127</v>
      </c>
      <c r="B136">
        <v>145365</v>
      </c>
      <c r="W136" s="11" t="s">
        <v>344</v>
      </c>
      <c r="X136" s="10">
        <v>145895</v>
      </c>
    </row>
    <row r="137" spans="1:24" x14ac:dyDescent="0.2">
      <c r="A137" s="8" t="s">
        <v>128</v>
      </c>
      <c r="B137">
        <v>145556</v>
      </c>
    </row>
    <row r="138" spans="1:24" x14ac:dyDescent="0.2">
      <c r="A138" s="8" t="s">
        <v>123</v>
      </c>
      <c r="B138">
        <v>145142</v>
      </c>
    </row>
    <row r="139" spans="1:24" x14ac:dyDescent="0.2">
      <c r="A139" s="8" t="s">
        <v>82</v>
      </c>
      <c r="B139">
        <v>186089</v>
      </c>
    </row>
    <row r="140" spans="1:24" x14ac:dyDescent="0.2">
      <c r="A140" s="8" t="s">
        <v>130</v>
      </c>
      <c r="B140">
        <v>145400</v>
      </c>
    </row>
    <row r="141" spans="1:24" x14ac:dyDescent="0.2">
      <c r="A141" s="8" t="s">
        <v>138</v>
      </c>
      <c r="B141">
        <v>144762</v>
      </c>
    </row>
    <row r="142" spans="1:24" x14ac:dyDescent="0.2">
      <c r="A142" s="8" t="s">
        <v>24</v>
      </c>
      <c r="B142">
        <v>148984</v>
      </c>
    </row>
    <row r="143" spans="1:24" x14ac:dyDescent="0.2">
      <c r="A143" s="5" t="s">
        <v>153</v>
      </c>
      <c r="B143">
        <v>1848897</v>
      </c>
    </row>
    <row r="144" spans="1:24" x14ac:dyDescent="0.2">
      <c r="A144" s="8" t="s">
        <v>43</v>
      </c>
      <c r="B144">
        <v>146833</v>
      </c>
    </row>
    <row r="145" spans="1:2" x14ac:dyDescent="0.2">
      <c r="A145" s="8" t="s">
        <v>30</v>
      </c>
      <c r="B145">
        <v>145866</v>
      </c>
    </row>
    <row r="146" spans="1:2" x14ac:dyDescent="0.2">
      <c r="A146" s="8" t="s">
        <v>22</v>
      </c>
      <c r="B146">
        <v>188891</v>
      </c>
    </row>
    <row r="147" spans="1:2" x14ac:dyDescent="0.2">
      <c r="A147" s="8" t="s">
        <v>12</v>
      </c>
      <c r="B147">
        <v>178751</v>
      </c>
    </row>
    <row r="148" spans="1:2" x14ac:dyDescent="0.2">
      <c r="A148" s="8" t="s">
        <v>38</v>
      </c>
      <c r="B148">
        <v>145860</v>
      </c>
    </row>
    <row r="149" spans="1:2" x14ac:dyDescent="0.2">
      <c r="A149" s="8" t="s">
        <v>41</v>
      </c>
      <c r="B149">
        <v>145814</v>
      </c>
    </row>
    <row r="150" spans="1:2" x14ac:dyDescent="0.2">
      <c r="A150" s="8" t="s">
        <v>11</v>
      </c>
      <c r="B150">
        <v>164059</v>
      </c>
    </row>
    <row r="151" spans="1:2" x14ac:dyDescent="0.2">
      <c r="A151" s="8" t="s">
        <v>21</v>
      </c>
      <c r="B151">
        <v>145899</v>
      </c>
    </row>
    <row r="152" spans="1:2" x14ac:dyDescent="0.2">
      <c r="A152" s="8" t="s">
        <v>15</v>
      </c>
      <c r="B152">
        <v>172198</v>
      </c>
    </row>
    <row r="153" spans="1:2" x14ac:dyDescent="0.2">
      <c r="A153" s="8" t="s">
        <v>6</v>
      </c>
      <c r="B153">
        <v>269661</v>
      </c>
    </row>
    <row r="154" spans="1:2" x14ac:dyDescent="0.2">
      <c r="A154" s="8" t="s">
        <v>45</v>
      </c>
      <c r="B154">
        <v>145065</v>
      </c>
    </row>
    <row r="155" spans="1:2" x14ac:dyDescent="0.2">
      <c r="A155" s="5" t="s">
        <v>170</v>
      </c>
      <c r="B155">
        <v>24537187</v>
      </c>
    </row>
    <row r="167" spans="23:24" x14ac:dyDescent="0.2">
      <c r="W167" s="13" t="s">
        <v>147</v>
      </c>
      <c r="X167" s="14" t="s">
        <v>173</v>
      </c>
    </row>
    <row r="168" spans="23:24" x14ac:dyDescent="0.2">
      <c r="W168" s="15" t="s">
        <v>353</v>
      </c>
      <c r="X168" s="16">
        <v>161506</v>
      </c>
    </row>
    <row r="169" spans="23:24" x14ac:dyDescent="0.2">
      <c r="W169" s="15" t="s">
        <v>354</v>
      </c>
      <c r="X169" s="16">
        <v>145123</v>
      </c>
    </row>
  </sheetData>
  <autoFilter ref="W125:X125" xr:uid="{49A58808-53FE-2F42-A602-5A0766CB2E40}">
    <sortState xmlns:xlrd2="http://schemas.microsoft.com/office/spreadsheetml/2017/richdata2" ref="W126:X136">
      <sortCondition descending="1" ref="X125:X136"/>
    </sortState>
  </autoFilter>
  <hyperlinks>
    <hyperlink ref="W4" r:id="rId2" display="https://umamexico.com/especialidades/" xr:uid="{4A1EF648-C9C0-5E43-B171-796907302225}"/>
    <hyperlink ref="W6" r:id="rId3" display="https://umamexico.com/tienda/arquitectura-bioclimatica-diseno-nuevo/" xr:uid="{21331BEA-5F33-3440-8E9B-D7EB561EAF9B}"/>
    <hyperlink ref="W7" r:id="rId4" display="https://umamexico.com/tienda/arquitectura-bioclimatica/" xr:uid="{0E486C7A-F1B0-C242-98A1-1CBA73921BB4}"/>
    <hyperlink ref="W8" r:id="rId5" display="https://umamexico.com/tienda/evaluacion-sistemica-de-proyectos/" xr:uid="{9F18AE83-5806-894A-921C-601EFE593EAA}"/>
    <hyperlink ref="W9" r:id="rId6" display="https://umamexico.com/tienda/incidencia-en-conflictos-socioambientales/" xr:uid="{9EEC03E0-FA96-BC40-986D-8B61A01AB29B}"/>
    <hyperlink ref="W5" r:id="rId7" display="https://umamexico.com/tienda/restauracion-ecosistemica/" xr:uid="{B3DBE0C5-F983-394C-BC30-01484F5BEE00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A0010-BA14-FD40-8677-D961E9FDD9F1}">
  <dimension ref="A1:P146"/>
  <sheetViews>
    <sheetView tabSelected="1" topLeftCell="B1" zoomScale="134" workbookViewId="0">
      <selection activeCell="B1" sqref="B1"/>
    </sheetView>
  </sheetViews>
  <sheetFormatPr baseColWidth="10" defaultRowHeight="16" x14ac:dyDescent="0.2"/>
  <cols>
    <col min="1" max="1" width="23.1640625" hidden="1" customWidth="1"/>
    <col min="2" max="2" width="69.33203125" customWidth="1"/>
    <col min="3" max="3" width="14.33203125" style="2" bestFit="1" customWidth="1"/>
    <col min="11" max="13" width="0" hidden="1" customWidth="1"/>
    <col min="14" max="14" width="18.6640625" hidden="1" customWidth="1"/>
    <col min="15" max="21" width="0" hidden="1" customWidth="1"/>
  </cols>
  <sheetData>
    <row r="1" spans="1:16" x14ac:dyDescent="0.2">
      <c r="A1" s="3" t="s">
        <v>166</v>
      </c>
      <c r="B1" s="3" t="s">
        <v>143</v>
      </c>
      <c r="C1" s="3" t="s">
        <v>169</v>
      </c>
      <c r="D1" s="3" t="s">
        <v>356</v>
      </c>
      <c r="L1" t="s">
        <v>146</v>
      </c>
      <c r="M1" t="s">
        <v>147</v>
      </c>
      <c r="N1" t="s">
        <v>148</v>
      </c>
      <c r="O1" t="s">
        <v>153</v>
      </c>
      <c r="P1" t="s">
        <v>156</v>
      </c>
    </row>
    <row r="2" spans="1:16" x14ac:dyDescent="0.2">
      <c r="A2" t="s">
        <v>167</v>
      </c>
      <c r="B2" t="s">
        <v>174</v>
      </c>
      <c r="C2" s="2">
        <v>649575</v>
      </c>
      <c r="D2" t="s">
        <v>355</v>
      </c>
      <c r="L2" t="str">
        <f t="shared" ref="L2:L33" si="0">IF(OR(ISNUMBER(SEARCH("maestria",B2))),"Maestría","Other")</f>
        <v>Other</v>
      </c>
      <c r="M2" t="str">
        <f t="shared" ref="M2:M33" si="1">IF(OR(ISNUMBER(SEARCH("licenciatura",B2))),"Licenciatura","Other")</f>
        <v>Other</v>
      </c>
      <c r="N2" t="str">
        <f>IF(OR(ISNUMBER(SEARCH("conflictos",B2))),"conflictos","Other")</f>
        <v>Other</v>
      </c>
      <c r="O2" t="str">
        <f t="shared" ref="O2:O8" si="2">IF(OR(ISNUMBER(SEARCH("sesiones-informativas",B2))),"sesiones-informativas","Other")</f>
        <v>Other</v>
      </c>
      <c r="P2" t="str">
        <f t="shared" ref="P2:P31" si="3">IF(OR(ISNUMBER(SEARCH("category",B2))),"Blog","Other")</f>
        <v>Other</v>
      </c>
    </row>
    <row r="3" spans="1:16" x14ac:dyDescent="0.2">
      <c r="A3" t="s">
        <v>148</v>
      </c>
      <c r="B3" t="s">
        <v>175</v>
      </c>
      <c r="C3" s="2">
        <v>335251</v>
      </c>
      <c r="D3" t="s">
        <v>355</v>
      </c>
      <c r="L3" t="str">
        <f t="shared" si="0"/>
        <v>Other</v>
      </c>
      <c r="M3" t="str">
        <f t="shared" si="1"/>
        <v>Other</v>
      </c>
      <c r="N3" t="str">
        <f>IF(OR(ISNUMBER(SEARCH("conflictos",B3))),"conflictos","Other")</f>
        <v>Other</v>
      </c>
      <c r="O3" t="str">
        <f t="shared" si="2"/>
        <v>Other</v>
      </c>
      <c r="P3" t="str">
        <f t="shared" si="3"/>
        <v>Other</v>
      </c>
    </row>
    <row r="4" spans="1:16" x14ac:dyDescent="0.2">
      <c r="A4" t="s">
        <v>167</v>
      </c>
      <c r="B4" t="s">
        <v>176</v>
      </c>
      <c r="C4" s="2">
        <v>335251</v>
      </c>
      <c r="L4" t="str">
        <f t="shared" si="0"/>
        <v>Other</v>
      </c>
      <c r="M4" t="str">
        <f t="shared" si="1"/>
        <v>Other</v>
      </c>
      <c r="N4" t="str">
        <f>IF(OR(ISNUMBER(SEARCH("conflictos",B4))),"conflictos","Other")</f>
        <v>Other</v>
      </c>
      <c r="O4" t="str">
        <f t="shared" si="2"/>
        <v>Other</v>
      </c>
      <c r="P4" t="str">
        <f t="shared" si="3"/>
        <v>Other</v>
      </c>
    </row>
    <row r="5" spans="1:16" x14ac:dyDescent="0.2">
      <c r="A5" t="s">
        <v>167</v>
      </c>
      <c r="B5" t="s">
        <v>177</v>
      </c>
      <c r="C5" s="2">
        <v>322284</v>
      </c>
      <c r="D5" t="s">
        <v>355</v>
      </c>
      <c r="L5" t="str">
        <f t="shared" si="0"/>
        <v>Other</v>
      </c>
      <c r="M5" t="str">
        <f t="shared" si="1"/>
        <v>Other</v>
      </c>
      <c r="N5" t="str">
        <f>IF(OR(ISNUMBER(SEARCH("conflictos",B5))),"conflictos","Other")</f>
        <v>Other</v>
      </c>
      <c r="O5" t="str">
        <f t="shared" si="2"/>
        <v>Other</v>
      </c>
      <c r="P5" t="str">
        <f t="shared" si="3"/>
        <v>Other</v>
      </c>
    </row>
    <row r="6" spans="1:16" x14ac:dyDescent="0.2">
      <c r="A6" t="s">
        <v>167</v>
      </c>
      <c r="B6" t="s">
        <v>178</v>
      </c>
      <c r="C6" s="2">
        <v>322284</v>
      </c>
      <c r="L6" t="str">
        <f t="shared" si="0"/>
        <v>Other</v>
      </c>
      <c r="M6" t="str">
        <f t="shared" si="1"/>
        <v>Other</v>
      </c>
      <c r="N6" t="str">
        <f>IF(OR(ISNUMBER(SEARCH("conflictos",B6))),"conflictos","Other")</f>
        <v>Other</v>
      </c>
      <c r="O6" t="str">
        <f t="shared" si="2"/>
        <v>Other</v>
      </c>
      <c r="P6" t="str">
        <f t="shared" si="3"/>
        <v>Other</v>
      </c>
    </row>
    <row r="7" spans="1:16" x14ac:dyDescent="0.2">
      <c r="A7" t="s">
        <v>167</v>
      </c>
      <c r="B7" t="s">
        <v>179</v>
      </c>
      <c r="C7" s="2">
        <v>276241</v>
      </c>
      <c r="D7" t="s">
        <v>355</v>
      </c>
      <c r="L7" t="str">
        <f t="shared" si="0"/>
        <v>Other</v>
      </c>
      <c r="M7" t="str">
        <f t="shared" si="1"/>
        <v>Other</v>
      </c>
      <c r="N7" s="1" t="s">
        <v>149</v>
      </c>
      <c r="O7" t="str">
        <f t="shared" si="2"/>
        <v>Other</v>
      </c>
      <c r="P7" t="str">
        <f t="shared" si="3"/>
        <v>Other</v>
      </c>
    </row>
    <row r="8" spans="1:16" x14ac:dyDescent="0.2">
      <c r="A8" t="s">
        <v>167</v>
      </c>
      <c r="B8" t="s">
        <v>180</v>
      </c>
      <c r="C8" s="2">
        <v>276241</v>
      </c>
      <c r="L8" t="str">
        <f t="shared" si="0"/>
        <v>Other</v>
      </c>
      <c r="M8" t="str">
        <f t="shared" si="1"/>
        <v>Other</v>
      </c>
      <c r="N8" t="str">
        <f t="shared" ref="N8:N15" si="4">IF(OR(ISNUMBER(SEARCH("conflictos",B8))),"conflictos","Other")</f>
        <v>Other</v>
      </c>
      <c r="O8" t="str">
        <f t="shared" si="2"/>
        <v>Other</v>
      </c>
      <c r="P8" t="str">
        <f t="shared" si="3"/>
        <v>Other</v>
      </c>
    </row>
    <row r="9" spans="1:16" x14ac:dyDescent="0.2">
      <c r="A9" t="s">
        <v>153</v>
      </c>
      <c r="B9" t="s">
        <v>181</v>
      </c>
      <c r="C9" s="2">
        <v>269661</v>
      </c>
      <c r="D9" t="s">
        <v>355</v>
      </c>
      <c r="L9" t="str">
        <f t="shared" si="0"/>
        <v>Other</v>
      </c>
      <c r="M9" t="str">
        <f t="shared" si="1"/>
        <v>Other</v>
      </c>
      <c r="N9" t="str">
        <f t="shared" si="4"/>
        <v>Other</v>
      </c>
      <c r="O9" s="1" t="s">
        <v>165</v>
      </c>
      <c r="P9" t="str">
        <f t="shared" si="3"/>
        <v>Other</v>
      </c>
    </row>
    <row r="10" spans="1:16" x14ac:dyDescent="0.2">
      <c r="A10" t="s">
        <v>167</v>
      </c>
      <c r="B10" t="s">
        <v>182</v>
      </c>
      <c r="C10" s="2">
        <v>269661</v>
      </c>
      <c r="L10" t="str">
        <f t="shared" si="0"/>
        <v>Other</v>
      </c>
      <c r="M10" t="str">
        <f t="shared" si="1"/>
        <v>Other</v>
      </c>
      <c r="N10" t="str">
        <f t="shared" si="4"/>
        <v>Other</v>
      </c>
      <c r="O10" t="str">
        <f>IF(OR(ISNUMBER(SEARCH("sesiones-informativas",B10))),"sesiones-informativas","Other")</f>
        <v>Other</v>
      </c>
      <c r="P10" t="str">
        <f t="shared" si="3"/>
        <v>Other</v>
      </c>
    </row>
    <row r="11" spans="1:16" x14ac:dyDescent="0.2">
      <c r="A11" t="s">
        <v>148</v>
      </c>
      <c r="B11" t="s">
        <v>183</v>
      </c>
      <c r="C11" s="2">
        <v>227743</v>
      </c>
      <c r="D11" t="s">
        <v>355</v>
      </c>
      <c r="L11" t="str">
        <f t="shared" si="0"/>
        <v>Other</v>
      </c>
      <c r="M11" t="str">
        <f t="shared" si="1"/>
        <v>Other</v>
      </c>
      <c r="N11" t="str">
        <f t="shared" si="4"/>
        <v>Other</v>
      </c>
      <c r="O11" t="str">
        <f>IF(OR(ISNUMBER(SEARCH("sesiones-informativas",B11))),"sesiones-informativas","Other")</f>
        <v>Other</v>
      </c>
      <c r="P11" t="str">
        <f t="shared" si="3"/>
        <v>Other</v>
      </c>
    </row>
    <row r="12" spans="1:16" x14ac:dyDescent="0.2">
      <c r="A12" t="s">
        <v>167</v>
      </c>
      <c r="B12" t="s">
        <v>184</v>
      </c>
      <c r="C12" s="2">
        <v>227743</v>
      </c>
      <c r="L12" t="str">
        <f t="shared" si="0"/>
        <v>Other</v>
      </c>
      <c r="M12" t="str">
        <f t="shared" si="1"/>
        <v>Other</v>
      </c>
      <c r="N12" t="str">
        <f t="shared" si="4"/>
        <v>Other</v>
      </c>
      <c r="O12" t="str">
        <f>IF(OR(ISNUMBER(SEARCH("sesiones-informativas",B12))),"sesiones-informativas","Other")</f>
        <v>Other</v>
      </c>
      <c r="P12" t="str">
        <f t="shared" si="3"/>
        <v>Other</v>
      </c>
    </row>
    <row r="13" spans="1:16" x14ac:dyDescent="0.2">
      <c r="A13" t="s">
        <v>167</v>
      </c>
      <c r="B13" t="s">
        <v>185</v>
      </c>
      <c r="C13" s="2">
        <v>223086</v>
      </c>
      <c r="D13" t="s">
        <v>355</v>
      </c>
      <c r="L13" t="str">
        <f t="shared" si="0"/>
        <v>Other</v>
      </c>
      <c r="M13" t="str">
        <f t="shared" si="1"/>
        <v>Other</v>
      </c>
      <c r="N13" t="str">
        <f t="shared" si="4"/>
        <v>Other</v>
      </c>
      <c r="O13" t="str">
        <f>IF(OR(ISNUMBER(SEARCH("sesiones-informativas",B13))),"sesiones-informativas","Other")</f>
        <v>Other</v>
      </c>
      <c r="P13" t="str">
        <f t="shared" si="3"/>
        <v>Other</v>
      </c>
    </row>
    <row r="14" spans="1:16" x14ac:dyDescent="0.2">
      <c r="A14" t="s">
        <v>167</v>
      </c>
      <c r="B14" t="s">
        <v>186</v>
      </c>
      <c r="C14" s="2">
        <v>223086</v>
      </c>
      <c r="L14" t="str">
        <f t="shared" si="0"/>
        <v>Other</v>
      </c>
      <c r="M14" t="str">
        <f t="shared" si="1"/>
        <v>Other</v>
      </c>
      <c r="N14" t="str">
        <f t="shared" si="4"/>
        <v>Other</v>
      </c>
      <c r="O14" s="1" t="s">
        <v>161</v>
      </c>
      <c r="P14" t="str">
        <f t="shared" si="3"/>
        <v>Blog</v>
      </c>
    </row>
    <row r="15" spans="1:16" x14ac:dyDescent="0.2">
      <c r="A15" t="s">
        <v>146</v>
      </c>
      <c r="B15" t="s">
        <v>187</v>
      </c>
      <c r="C15" s="2">
        <v>198575</v>
      </c>
      <c r="D15" t="s">
        <v>355</v>
      </c>
      <c r="L15" t="str">
        <f t="shared" si="0"/>
        <v>Maestría</v>
      </c>
      <c r="M15" t="str">
        <f t="shared" si="1"/>
        <v>Other</v>
      </c>
      <c r="N15" t="str">
        <f t="shared" si="4"/>
        <v>Other</v>
      </c>
      <c r="O15" s="1" t="s">
        <v>164</v>
      </c>
      <c r="P15" t="str">
        <f t="shared" si="3"/>
        <v>Other</v>
      </c>
    </row>
    <row r="16" spans="1:16" x14ac:dyDescent="0.2">
      <c r="A16" t="s">
        <v>155</v>
      </c>
      <c r="B16" t="s">
        <v>188</v>
      </c>
      <c r="C16" s="2">
        <v>198575</v>
      </c>
      <c r="D16" t="s">
        <v>355</v>
      </c>
      <c r="L16" t="str">
        <f t="shared" si="0"/>
        <v>Other</v>
      </c>
      <c r="M16" t="str">
        <f t="shared" si="1"/>
        <v>Other</v>
      </c>
      <c r="N16" s="1" t="s">
        <v>152</v>
      </c>
      <c r="O16" t="str">
        <f>IF(OR(ISNUMBER(SEARCH("sesiones-informativas",B16))),"sesiones-informativas","Other")</f>
        <v>Other</v>
      </c>
      <c r="P16" t="str">
        <f t="shared" si="3"/>
        <v>Blog</v>
      </c>
    </row>
    <row r="17" spans="1:16" x14ac:dyDescent="0.2">
      <c r="A17" t="s">
        <v>167</v>
      </c>
      <c r="B17" t="s">
        <v>189</v>
      </c>
      <c r="C17" s="2">
        <v>193693</v>
      </c>
      <c r="D17" t="s">
        <v>355</v>
      </c>
      <c r="L17" t="str">
        <f t="shared" si="0"/>
        <v>Other</v>
      </c>
      <c r="M17" t="str">
        <f t="shared" si="1"/>
        <v>Other</v>
      </c>
      <c r="N17" t="str">
        <f t="shared" ref="N17:N38" si="5">IF(OR(ISNUMBER(SEARCH("conflictos",B17))),"conflictos","Other")</f>
        <v>Other</v>
      </c>
      <c r="O17" t="str">
        <f>IF(OR(ISNUMBER(SEARCH("sesiones-informativas",B17))),"sesiones-informativas","Other")</f>
        <v>Other</v>
      </c>
      <c r="P17" t="str">
        <f t="shared" si="3"/>
        <v>Other</v>
      </c>
    </row>
    <row r="18" spans="1:16" x14ac:dyDescent="0.2">
      <c r="A18" t="s">
        <v>167</v>
      </c>
      <c r="B18" t="s">
        <v>190</v>
      </c>
      <c r="C18" s="2">
        <v>193693</v>
      </c>
      <c r="L18" t="str">
        <f t="shared" si="0"/>
        <v>Other</v>
      </c>
      <c r="M18" t="str">
        <f t="shared" si="1"/>
        <v>Other</v>
      </c>
      <c r="N18" t="str">
        <f t="shared" si="5"/>
        <v>Other</v>
      </c>
      <c r="O18" s="1" t="s">
        <v>159</v>
      </c>
      <c r="P18" t="str">
        <f t="shared" si="3"/>
        <v>Other</v>
      </c>
    </row>
    <row r="19" spans="1:16" x14ac:dyDescent="0.2">
      <c r="A19" t="s">
        <v>153</v>
      </c>
      <c r="B19" t="s">
        <v>191</v>
      </c>
      <c r="C19" s="2">
        <v>188891</v>
      </c>
      <c r="D19" t="s">
        <v>355</v>
      </c>
      <c r="L19" t="str">
        <f t="shared" si="0"/>
        <v>Other</v>
      </c>
      <c r="M19" t="str">
        <f t="shared" si="1"/>
        <v>Other</v>
      </c>
      <c r="N19" t="str">
        <f t="shared" si="5"/>
        <v>Other</v>
      </c>
      <c r="O19" t="str">
        <f>IF(OR(ISNUMBER(SEARCH("sesiones-informativas",B19))),"sesiones-informativas","Other")</f>
        <v>Other</v>
      </c>
      <c r="P19" t="str">
        <f t="shared" si="3"/>
        <v>Other</v>
      </c>
    </row>
    <row r="20" spans="1:16" x14ac:dyDescent="0.2">
      <c r="A20" t="s">
        <v>155</v>
      </c>
      <c r="B20" t="s">
        <v>192</v>
      </c>
      <c r="C20" s="2">
        <v>188891</v>
      </c>
      <c r="D20" t="s">
        <v>355</v>
      </c>
      <c r="L20" t="str">
        <f t="shared" si="0"/>
        <v>Other</v>
      </c>
      <c r="M20" t="str">
        <f t="shared" si="1"/>
        <v>Other</v>
      </c>
      <c r="N20" t="str">
        <f t="shared" si="5"/>
        <v>Other</v>
      </c>
      <c r="O20" t="str">
        <f>IF(OR(ISNUMBER(SEARCH("sesiones-informativas",B20))),"sesiones-informativas","Other")</f>
        <v>Other</v>
      </c>
      <c r="P20" t="str">
        <f t="shared" si="3"/>
        <v>Blog</v>
      </c>
    </row>
    <row r="21" spans="1:16" x14ac:dyDescent="0.2">
      <c r="A21" t="s">
        <v>167</v>
      </c>
      <c r="B21" t="s">
        <v>193</v>
      </c>
      <c r="C21" s="2">
        <v>188670</v>
      </c>
      <c r="D21" t="s">
        <v>355</v>
      </c>
      <c r="L21" t="str">
        <f t="shared" si="0"/>
        <v>Other</v>
      </c>
      <c r="M21" t="str">
        <f t="shared" si="1"/>
        <v>Other</v>
      </c>
      <c r="N21" t="str">
        <f t="shared" si="5"/>
        <v>Other</v>
      </c>
      <c r="O21" t="str">
        <f>IF(OR(ISNUMBER(SEARCH("sesiones-informativas",B21))),"sesiones-informativas","Other")</f>
        <v>Other</v>
      </c>
      <c r="P21" t="str">
        <f t="shared" si="3"/>
        <v>Other</v>
      </c>
    </row>
    <row r="22" spans="1:16" x14ac:dyDescent="0.2">
      <c r="A22" t="s">
        <v>167</v>
      </c>
      <c r="B22" t="s">
        <v>194</v>
      </c>
      <c r="C22" s="2">
        <v>188670</v>
      </c>
      <c r="L22" t="str">
        <f t="shared" si="0"/>
        <v>Other</v>
      </c>
      <c r="M22" t="str">
        <f t="shared" si="1"/>
        <v>Other</v>
      </c>
      <c r="N22" t="str">
        <f t="shared" si="5"/>
        <v>Other</v>
      </c>
      <c r="O22" t="str">
        <f>IF(OR(ISNUMBER(SEARCH("sesiones-informativas",B22))),"sesiones-informativas","Other")</f>
        <v>Other</v>
      </c>
      <c r="P22" t="str">
        <f t="shared" si="3"/>
        <v>Other</v>
      </c>
    </row>
    <row r="23" spans="1:16" x14ac:dyDescent="0.2">
      <c r="A23" t="s">
        <v>146</v>
      </c>
      <c r="B23" t="s">
        <v>195</v>
      </c>
      <c r="C23" s="2">
        <v>188667</v>
      </c>
      <c r="D23" t="s">
        <v>355</v>
      </c>
      <c r="L23" t="str">
        <f t="shared" si="0"/>
        <v>Maestría</v>
      </c>
      <c r="M23" t="str">
        <f t="shared" si="1"/>
        <v>Other</v>
      </c>
      <c r="N23" t="str">
        <f t="shared" si="5"/>
        <v>Other</v>
      </c>
      <c r="O23" t="str">
        <f>IF(OR(ISNUMBER(SEARCH("sesiones-informativas",B23))),"sesiones-informativas","Other")</f>
        <v>Other</v>
      </c>
      <c r="P23" t="str">
        <f t="shared" si="3"/>
        <v>Other</v>
      </c>
    </row>
    <row r="24" spans="1:16" x14ac:dyDescent="0.2">
      <c r="A24" t="s">
        <v>167</v>
      </c>
      <c r="B24" t="s">
        <v>196</v>
      </c>
      <c r="C24" s="2">
        <v>188667</v>
      </c>
      <c r="L24" t="str">
        <f t="shared" si="0"/>
        <v>Other</v>
      </c>
      <c r="M24" t="str">
        <f t="shared" si="1"/>
        <v>Other</v>
      </c>
      <c r="N24" t="str">
        <f t="shared" si="5"/>
        <v>Other</v>
      </c>
      <c r="O24" s="1" t="s">
        <v>163</v>
      </c>
      <c r="P24" t="str">
        <f t="shared" si="3"/>
        <v>Other</v>
      </c>
    </row>
    <row r="25" spans="1:16" x14ac:dyDescent="0.2">
      <c r="A25" t="s">
        <v>167</v>
      </c>
      <c r="B25" t="s">
        <v>197</v>
      </c>
      <c r="C25" s="2">
        <v>186089</v>
      </c>
      <c r="D25" t="s">
        <v>355</v>
      </c>
      <c r="L25" t="str">
        <f t="shared" si="0"/>
        <v>Other</v>
      </c>
      <c r="M25" t="str">
        <f t="shared" si="1"/>
        <v>Other</v>
      </c>
      <c r="N25" t="str">
        <f t="shared" si="5"/>
        <v>Other</v>
      </c>
      <c r="O25" s="1" t="s">
        <v>154</v>
      </c>
      <c r="P25" t="str">
        <f t="shared" si="3"/>
        <v>Other</v>
      </c>
    </row>
    <row r="26" spans="1:16" x14ac:dyDescent="0.2">
      <c r="A26" t="s">
        <v>167</v>
      </c>
      <c r="B26" t="s">
        <v>198</v>
      </c>
      <c r="C26" s="2">
        <v>186089</v>
      </c>
      <c r="L26" t="str">
        <f t="shared" si="0"/>
        <v>Other</v>
      </c>
      <c r="M26" t="str">
        <f t="shared" si="1"/>
        <v>Other</v>
      </c>
      <c r="N26" t="str">
        <f t="shared" si="5"/>
        <v>Other</v>
      </c>
      <c r="O26" t="str">
        <f t="shared" ref="O26:O32" si="6">IF(OR(ISNUMBER(SEARCH("sesiones-informativas",B26))),"sesiones-informativas","Other")</f>
        <v>Other</v>
      </c>
      <c r="P26" t="str">
        <f t="shared" si="3"/>
        <v>Other</v>
      </c>
    </row>
    <row r="27" spans="1:16" x14ac:dyDescent="0.2">
      <c r="A27" t="s">
        <v>167</v>
      </c>
      <c r="B27" t="s">
        <v>199</v>
      </c>
      <c r="C27" s="2">
        <v>182377</v>
      </c>
      <c r="L27" t="str">
        <f t="shared" si="0"/>
        <v>Other</v>
      </c>
      <c r="M27" t="str">
        <f t="shared" si="1"/>
        <v>Other</v>
      </c>
      <c r="N27" t="str">
        <f t="shared" si="5"/>
        <v>Other</v>
      </c>
      <c r="O27" t="str">
        <f t="shared" si="6"/>
        <v>Other</v>
      </c>
      <c r="P27" t="str">
        <f t="shared" si="3"/>
        <v>Other</v>
      </c>
    </row>
    <row r="28" spans="1:16" x14ac:dyDescent="0.2">
      <c r="A28" t="s">
        <v>148</v>
      </c>
      <c r="B28" t="s">
        <v>200</v>
      </c>
      <c r="C28" s="2">
        <v>182377</v>
      </c>
      <c r="L28" t="str">
        <f t="shared" si="0"/>
        <v>Other</v>
      </c>
      <c r="M28" t="str">
        <f t="shared" si="1"/>
        <v>Other</v>
      </c>
      <c r="N28" t="str">
        <f t="shared" si="5"/>
        <v>Other</v>
      </c>
      <c r="O28" t="str">
        <f t="shared" si="6"/>
        <v>Other</v>
      </c>
      <c r="P28" t="str">
        <f t="shared" si="3"/>
        <v>Other</v>
      </c>
    </row>
    <row r="29" spans="1:16" x14ac:dyDescent="0.2">
      <c r="A29" t="s">
        <v>153</v>
      </c>
      <c r="B29" t="s">
        <v>201</v>
      </c>
      <c r="C29" s="2">
        <v>178751</v>
      </c>
      <c r="D29" t="s">
        <v>355</v>
      </c>
      <c r="L29" t="str">
        <f t="shared" si="0"/>
        <v>Other</v>
      </c>
      <c r="M29" t="str">
        <f t="shared" si="1"/>
        <v>Other</v>
      </c>
      <c r="N29" t="str">
        <f t="shared" si="5"/>
        <v>Other</v>
      </c>
      <c r="O29" t="str">
        <f t="shared" si="6"/>
        <v>Other</v>
      </c>
      <c r="P29" t="str">
        <f t="shared" si="3"/>
        <v>Other</v>
      </c>
    </row>
    <row r="30" spans="1:16" x14ac:dyDescent="0.2">
      <c r="A30" t="s">
        <v>167</v>
      </c>
      <c r="B30" t="s">
        <v>202</v>
      </c>
      <c r="C30" s="2">
        <v>178751</v>
      </c>
      <c r="L30" t="str">
        <f t="shared" si="0"/>
        <v>Other</v>
      </c>
      <c r="M30" t="str">
        <f t="shared" si="1"/>
        <v>Other</v>
      </c>
      <c r="N30" t="str">
        <f t="shared" si="5"/>
        <v>Other</v>
      </c>
      <c r="O30" t="str">
        <f t="shared" si="6"/>
        <v>Other</v>
      </c>
      <c r="P30" t="str">
        <f t="shared" si="3"/>
        <v>Other</v>
      </c>
    </row>
    <row r="31" spans="1:16" x14ac:dyDescent="0.2">
      <c r="A31" t="s">
        <v>167</v>
      </c>
      <c r="B31" t="s">
        <v>203</v>
      </c>
      <c r="C31" s="2">
        <v>173101</v>
      </c>
      <c r="D31" t="s">
        <v>355</v>
      </c>
      <c r="L31" t="str">
        <f t="shared" si="0"/>
        <v>Other</v>
      </c>
      <c r="M31" t="str">
        <f t="shared" si="1"/>
        <v>Other</v>
      </c>
      <c r="N31" t="str">
        <f t="shared" si="5"/>
        <v>Other</v>
      </c>
      <c r="O31" t="str">
        <f t="shared" si="6"/>
        <v>Other</v>
      </c>
      <c r="P31" t="str">
        <f t="shared" si="3"/>
        <v>Other</v>
      </c>
    </row>
    <row r="32" spans="1:16" x14ac:dyDescent="0.2">
      <c r="A32" t="s">
        <v>167</v>
      </c>
      <c r="B32" t="s">
        <v>204</v>
      </c>
      <c r="C32" s="2">
        <v>173101</v>
      </c>
      <c r="L32" t="str">
        <f t="shared" si="0"/>
        <v>Other</v>
      </c>
      <c r="M32" t="str">
        <f t="shared" si="1"/>
        <v>Other</v>
      </c>
      <c r="N32" t="str">
        <f t="shared" si="5"/>
        <v>Other</v>
      </c>
      <c r="O32" t="str">
        <f t="shared" si="6"/>
        <v>Other</v>
      </c>
      <c r="P32" s="1" t="s">
        <v>155</v>
      </c>
    </row>
    <row r="33" spans="1:16" x14ac:dyDescent="0.2">
      <c r="A33" t="s">
        <v>167</v>
      </c>
      <c r="B33" t="s">
        <v>205</v>
      </c>
      <c r="C33" s="2">
        <v>172837</v>
      </c>
      <c r="D33" t="s">
        <v>355</v>
      </c>
      <c r="L33" t="str">
        <f t="shared" si="0"/>
        <v>Other</v>
      </c>
      <c r="M33" t="str">
        <f t="shared" si="1"/>
        <v>Other</v>
      </c>
      <c r="N33" t="str">
        <f t="shared" si="5"/>
        <v>Other</v>
      </c>
      <c r="O33" s="1" t="s">
        <v>162</v>
      </c>
      <c r="P33" t="str">
        <f>IF(OR(ISNUMBER(SEARCH("category",B33))),"Blog","Other")</f>
        <v>Other</v>
      </c>
    </row>
    <row r="34" spans="1:16" x14ac:dyDescent="0.2">
      <c r="A34" t="s">
        <v>167</v>
      </c>
      <c r="B34" t="s">
        <v>206</v>
      </c>
      <c r="C34" s="2">
        <v>172837</v>
      </c>
      <c r="L34" t="str">
        <f t="shared" ref="L34:L65" si="7">IF(OR(ISNUMBER(SEARCH("maestria",B34))),"Maestría","Other")</f>
        <v>Other</v>
      </c>
      <c r="M34" t="str">
        <f t="shared" ref="M34:M65" si="8">IF(OR(ISNUMBER(SEARCH("licenciatura",B34))),"Licenciatura","Other")</f>
        <v>Other</v>
      </c>
      <c r="N34" t="str">
        <f t="shared" si="5"/>
        <v>Other</v>
      </c>
      <c r="O34" t="str">
        <f t="shared" ref="O34:O39" si="9">IF(OR(ISNUMBER(SEARCH("sesiones-informativas",B34))),"sesiones-informativas","Other")</f>
        <v>Other</v>
      </c>
      <c r="P34" s="1" t="s">
        <v>155</v>
      </c>
    </row>
    <row r="35" spans="1:16" x14ac:dyDescent="0.2">
      <c r="A35" t="s">
        <v>153</v>
      </c>
      <c r="B35" t="s">
        <v>207</v>
      </c>
      <c r="C35" s="2">
        <v>172198</v>
      </c>
      <c r="D35" t="s">
        <v>355</v>
      </c>
      <c r="L35" t="str">
        <f t="shared" si="7"/>
        <v>Other</v>
      </c>
      <c r="M35" t="str">
        <f t="shared" si="8"/>
        <v>Other</v>
      </c>
      <c r="N35" t="str">
        <f t="shared" si="5"/>
        <v>Other</v>
      </c>
      <c r="O35" t="str">
        <f t="shared" si="9"/>
        <v>Other</v>
      </c>
      <c r="P35" t="str">
        <f t="shared" ref="P35:P66" si="10">IF(OR(ISNUMBER(SEARCH("category",B35))),"Blog","Other")</f>
        <v>Other</v>
      </c>
    </row>
    <row r="36" spans="1:16" x14ac:dyDescent="0.2">
      <c r="A36" t="s">
        <v>167</v>
      </c>
      <c r="B36" t="s">
        <v>208</v>
      </c>
      <c r="C36" s="2">
        <v>172198</v>
      </c>
      <c r="L36" t="str">
        <f t="shared" si="7"/>
        <v>Other</v>
      </c>
      <c r="M36" t="str">
        <f t="shared" si="8"/>
        <v>Other</v>
      </c>
      <c r="N36" t="str">
        <f t="shared" si="5"/>
        <v>Other</v>
      </c>
      <c r="O36" t="str">
        <f t="shared" si="9"/>
        <v>Other</v>
      </c>
      <c r="P36" t="str">
        <f t="shared" si="10"/>
        <v>Other</v>
      </c>
    </row>
    <row r="37" spans="1:16" x14ac:dyDescent="0.2">
      <c r="A37" t="s">
        <v>146</v>
      </c>
      <c r="B37" t="s">
        <v>209</v>
      </c>
      <c r="C37" s="2">
        <v>171881</v>
      </c>
      <c r="D37" t="s">
        <v>355</v>
      </c>
      <c r="L37" t="str">
        <f t="shared" si="7"/>
        <v>Maestría</v>
      </c>
      <c r="M37" t="str">
        <f t="shared" si="8"/>
        <v>Other</v>
      </c>
      <c r="N37" t="str">
        <f t="shared" si="5"/>
        <v>Other</v>
      </c>
      <c r="O37" t="str">
        <f t="shared" si="9"/>
        <v>Other</v>
      </c>
      <c r="P37" t="str">
        <f t="shared" si="10"/>
        <v>Other</v>
      </c>
    </row>
    <row r="38" spans="1:16" x14ac:dyDescent="0.2">
      <c r="A38" t="s">
        <v>167</v>
      </c>
      <c r="B38" t="s">
        <v>210</v>
      </c>
      <c r="C38" s="2">
        <v>171881</v>
      </c>
      <c r="L38" t="str">
        <f t="shared" si="7"/>
        <v>Other</v>
      </c>
      <c r="M38" t="str">
        <f t="shared" si="8"/>
        <v>Other</v>
      </c>
      <c r="N38" t="str">
        <f t="shared" si="5"/>
        <v>Other</v>
      </c>
      <c r="O38" t="str">
        <f t="shared" si="9"/>
        <v>Other</v>
      </c>
      <c r="P38" t="str">
        <f t="shared" si="10"/>
        <v>Other</v>
      </c>
    </row>
    <row r="39" spans="1:16" x14ac:dyDescent="0.2">
      <c r="A39" t="s">
        <v>167</v>
      </c>
      <c r="B39" t="s">
        <v>211</v>
      </c>
      <c r="C39" s="2">
        <v>169612</v>
      </c>
      <c r="L39" t="str">
        <f t="shared" si="7"/>
        <v>Other</v>
      </c>
      <c r="M39" t="str">
        <f t="shared" si="8"/>
        <v>Other</v>
      </c>
      <c r="N39" s="1" t="s">
        <v>150</v>
      </c>
      <c r="O39" t="str">
        <f t="shared" si="9"/>
        <v>Other</v>
      </c>
      <c r="P39" t="str">
        <f t="shared" si="10"/>
        <v>Other</v>
      </c>
    </row>
    <row r="40" spans="1:16" x14ac:dyDescent="0.2">
      <c r="A40" t="s">
        <v>167</v>
      </c>
      <c r="B40" t="s">
        <v>212</v>
      </c>
      <c r="C40" s="2">
        <v>169612</v>
      </c>
      <c r="D40" t="s">
        <v>355</v>
      </c>
      <c r="L40" t="str">
        <f t="shared" si="7"/>
        <v>Other</v>
      </c>
      <c r="M40" t="str">
        <f t="shared" si="8"/>
        <v>Other</v>
      </c>
      <c r="N40" t="str">
        <f>IF(OR(ISNUMBER(SEARCH("conflictos",B40))),"conflictos","Other")</f>
        <v>Other</v>
      </c>
      <c r="O40" s="1" t="s">
        <v>154</v>
      </c>
      <c r="P40" t="str">
        <f t="shared" si="10"/>
        <v>Other</v>
      </c>
    </row>
    <row r="41" spans="1:16" x14ac:dyDescent="0.2">
      <c r="A41" t="s">
        <v>167</v>
      </c>
      <c r="B41" t="s">
        <v>213</v>
      </c>
      <c r="C41" s="2">
        <v>169034</v>
      </c>
      <c r="D41" t="s">
        <v>355</v>
      </c>
      <c r="L41" t="str">
        <f t="shared" si="7"/>
        <v>Other</v>
      </c>
      <c r="M41" t="str">
        <f t="shared" si="8"/>
        <v>Other</v>
      </c>
      <c r="N41" t="str">
        <f>IF(OR(ISNUMBER(SEARCH("conflictos",B41))),"conflictos","Other")</f>
        <v>Other</v>
      </c>
      <c r="O41" s="1" t="s">
        <v>157</v>
      </c>
      <c r="P41" t="str">
        <f t="shared" si="10"/>
        <v>Other</v>
      </c>
    </row>
    <row r="42" spans="1:16" x14ac:dyDescent="0.2">
      <c r="A42" t="s">
        <v>167</v>
      </c>
      <c r="B42" t="s">
        <v>214</v>
      </c>
      <c r="C42" s="2">
        <v>169034</v>
      </c>
      <c r="L42" t="str">
        <f t="shared" si="7"/>
        <v>Other</v>
      </c>
      <c r="M42" t="str">
        <f t="shared" si="8"/>
        <v>Other</v>
      </c>
      <c r="N42" t="str">
        <f>IF(OR(ISNUMBER(SEARCH("conflictos",B42))),"conflictos","Other")</f>
        <v>Other</v>
      </c>
      <c r="O42" t="str">
        <f>IF(OR(ISNUMBER(SEARCH("sesiones-informativas",B42))),"sesiones-informativas","Other")</f>
        <v>Other</v>
      </c>
      <c r="P42" t="str">
        <f t="shared" si="10"/>
        <v>Other</v>
      </c>
    </row>
    <row r="43" spans="1:16" x14ac:dyDescent="0.2">
      <c r="A43" t="s">
        <v>167</v>
      </c>
      <c r="B43" t="s">
        <v>215</v>
      </c>
      <c r="C43" s="2">
        <v>167870</v>
      </c>
      <c r="D43" t="s">
        <v>355</v>
      </c>
      <c r="L43" t="str">
        <f t="shared" si="7"/>
        <v>Other</v>
      </c>
      <c r="M43" t="str">
        <f t="shared" si="8"/>
        <v>Other</v>
      </c>
      <c r="N43" s="1" t="s">
        <v>151</v>
      </c>
      <c r="O43" t="str">
        <f>IF(OR(ISNUMBER(SEARCH("sesiones-informativas",B43))),"sesiones-informativas","Other")</f>
        <v>Other</v>
      </c>
      <c r="P43" t="str">
        <f t="shared" si="10"/>
        <v>Other</v>
      </c>
    </row>
    <row r="44" spans="1:16" x14ac:dyDescent="0.2">
      <c r="A44" t="s">
        <v>167</v>
      </c>
      <c r="B44" t="s">
        <v>216</v>
      </c>
      <c r="C44" s="2">
        <v>167870</v>
      </c>
      <c r="L44" t="str">
        <f t="shared" si="7"/>
        <v>Other</v>
      </c>
      <c r="M44" t="str">
        <f t="shared" si="8"/>
        <v>Other</v>
      </c>
      <c r="N44" t="str">
        <f t="shared" ref="N44:N75" si="11">IF(OR(ISNUMBER(SEARCH("conflictos",B44))),"conflictos","Other")</f>
        <v>Other</v>
      </c>
      <c r="O44" s="1" t="s">
        <v>160</v>
      </c>
      <c r="P44" t="str">
        <f t="shared" si="10"/>
        <v>Other</v>
      </c>
    </row>
    <row r="45" spans="1:16" x14ac:dyDescent="0.2">
      <c r="A45" t="s">
        <v>167</v>
      </c>
      <c r="B45" t="s">
        <v>217</v>
      </c>
      <c r="C45" s="2">
        <v>165512</v>
      </c>
      <c r="D45" t="s">
        <v>355</v>
      </c>
      <c r="L45" t="str">
        <f t="shared" si="7"/>
        <v>Other</v>
      </c>
      <c r="M45" t="str">
        <f t="shared" si="8"/>
        <v>Other</v>
      </c>
      <c r="N45" t="str">
        <f t="shared" si="11"/>
        <v>Other</v>
      </c>
      <c r="O45" t="str">
        <f>IF(OR(ISNUMBER(SEARCH("sesiones-informativas",B45))),"sesiones-informativas","Other")</f>
        <v>Other</v>
      </c>
      <c r="P45" t="str">
        <f t="shared" si="10"/>
        <v>Other</v>
      </c>
    </row>
    <row r="46" spans="1:16" x14ac:dyDescent="0.2">
      <c r="A46" t="s">
        <v>167</v>
      </c>
      <c r="B46" t="s">
        <v>218</v>
      </c>
      <c r="C46" s="2">
        <v>165512</v>
      </c>
      <c r="L46" t="str">
        <f t="shared" si="7"/>
        <v>Other</v>
      </c>
      <c r="M46" t="str">
        <f t="shared" si="8"/>
        <v>Other</v>
      </c>
      <c r="N46" t="str">
        <f t="shared" si="11"/>
        <v>Other</v>
      </c>
      <c r="O46" t="str">
        <f>IF(OR(ISNUMBER(SEARCH("sesiones-informativas",B46))),"sesiones-informativas","Other")</f>
        <v>Other</v>
      </c>
      <c r="P46" t="str">
        <f t="shared" si="10"/>
        <v>Other</v>
      </c>
    </row>
    <row r="47" spans="1:16" x14ac:dyDescent="0.2">
      <c r="A47" t="s">
        <v>153</v>
      </c>
      <c r="B47" t="s">
        <v>219</v>
      </c>
      <c r="C47" s="2">
        <v>164059</v>
      </c>
      <c r="D47" t="s">
        <v>355</v>
      </c>
      <c r="L47" t="str">
        <f t="shared" si="7"/>
        <v>Other</v>
      </c>
      <c r="M47" t="str">
        <f t="shared" si="8"/>
        <v>Other</v>
      </c>
      <c r="N47" t="str">
        <f t="shared" si="11"/>
        <v>Other</v>
      </c>
      <c r="O47" t="str">
        <f>IF(OR(ISNUMBER(SEARCH("sesiones-informativas",B47))),"sesiones-informativas","Other")</f>
        <v>Other</v>
      </c>
      <c r="P47" t="str">
        <f t="shared" si="10"/>
        <v>Other</v>
      </c>
    </row>
    <row r="48" spans="1:16" x14ac:dyDescent="0.2">
      <c r="A48" t="s">
        <v>167</v>
      </c>
      <c r="B48" t="s">
        <v>220</v>
      </c>
      <c r="C48" s="2">
        <v>164059</v>
      </c>
      <c r="L48" t="str">
        <f t="shared" si="7"/>
        <v>Other</v>
      </c>
      <c r="M48" t="str">
        <f t="shared" si="8"/>
        <v>Other</v>
      </c>
      <c r="N48" t="str">
        <f t="shared" si="11"/>
        <v>Other</v>
      </c>
      <c r="O48" s="1" t="s">
        <v>158</v>
      </c>
      <c r="P48" t="str">
        <f t="shared" si="10"/>
        <v>Other</v>
      </c>
    </row>
    <row r="49" spans="1:16" x14ac:dyDescent="0.2">
      <c r="A49" t="s">
        <v>148</v>
      </c>
      <c r="B49" t="s">
        <v>221</v>
      </c>
      <c r="C49" s="2">
        <v>163804</v>
      </c>
      <c r="D49" t="s">
        <v>355</v>
      </c>
      <c r="L49" t="str">
        <f t="shared" si="7"/>
        <v>Other</v>
      </c>
      <c r="M49" t="str">
        <f t="shared" si="8"/>
        <v>Other</v>
      </c>
      <c r="N49" t="str">
        <f t="shared" si="11"/>
        <v>Other</v>
      </c>
      <c r="O49" t="str">
        <f t="shared" ref="O49:O80" si="12">IF(OR(ISNUMBER(SEARCH("sesiones-informativas",B49))),"sesiones-informativas","Other")</f>
        <v>Other</v>
      </c>
      <c r="P49" t="str">
        <f t="shared" si="10"/>
        <v>Other</v>
      </c>
    </row>
    <row r="50" spans="1:16" x14ac:dyDescent="0.2">
      <c r="A50" t="s">
        <v>167</v>
      </c>
      <c r="B50" t="s">
        <v>222</v>
      </c>
      <c r="C50" s="2">
        <v>163804</v>
      </c>
      <c r="D50" t="s">
        <v>355</v>
      </c>
      <c r="L50" t="str">
        <f t="shared" si="7"/>
        <v>Other</v>
      </c>
      <c r="M50" t="str">
        <f t="shared" si="8"/>
        <v>Other</v>
      </c>
      <c r="N50" t="str">
        <f t="shared" si="11"/>
        <v>Other</v>
      </c>
      <c r="O50" t="str">
        <f t="shared" si="12"/>
        <v>Other</v>
      </c>
      <c r="P50" t="str">
        <f t="shared" si="10"/>
        <v>Other</v>
      </c>
    </row>
    <row r="51" spans="1:16" x14ac:dyDescent="0.2">
      <c r="A51" t="s">
        <v>147</v>
      </c>
      <c r="B51" t="s">
        <v>223</v>
      </c>
      <c r="C51" s="2">
        <v>161506</v>
      </c>
      <c r="D51" t="s">
        <v>355</v>
      </c>
      <c r="L51" t="str">
        <f t="shared" si="7"/>
        <v>Other</v>
      </c>
      <c r="M51" t="str">
        <f t="shared" si="8"/>
        <v>Licenciatura</v>
      </c>
      <c r="N51" t="str">
        <f t="shared" si="11"/>
        <v>Other</v>
      </c>
      <c r="O51" t="str">
        <f t="shared" si="12"/>
        <v>Other</v>
      </c>
      <c r="P51" t="str">
        <f t="shared" si="10"/>
        <v>Other</v>
      </c>
    </row>
    <row r="52" spans="1:16" x14ac:dyDescent="0.2">
      <c r="A52" t="s">
        <v>167</v>
      </c>
      <c r="B52" t="s">
        <v>224</v>
      </c>
      <c r="C52" s="2">
        <v>161506</v>
      </c>
      <c r="L52" t="str">
        <f t="shared" si="7"/>
        <v>Other</v>
      </c>
      <c r="M52" t="str">
        <f t="shared" si="8"/>
        <v>Other</v>
      </c>
      <c r="N52" t="str">
        <f t="shared" si="11"/>
        <v>Other</v>
      </c>
      <c r="O52" t="str">
        <f t="shared" si="12"/>
        <v>Other</v>
      </c>
      <c r="P52" t="str">
        <f t="shared" si="10"/>
        <v>Other</v>
      </c>
    </row>
    <row r="53" spans="1:16" x14ac:dyDescent="0.2">
      <c r="A53" t="s">
        <v>167</v>
      </c>
      <c r="B53" t="s">
        <v>225</v>
      </c>
      <c r="C53" s="2">
        <v>161011</v>
      </c>
      <c r="D53" t="s">
        <v>355</v>
      </c>
      <c r="L53" t="str">
        <f t="shared" si="7"/>
        <v>Other</v>
      </c>
      <c r="M53" t="str">
        <f t="shared" si="8"/>
        <v>Other</v>
      </c>
      <c r="N53" t="str">
        <f t="shared" si="11"/>
        <v>Other</v>
      </c>
      <c r="O53" t="str">
        <f t="shared" si="12"/>
        <v>Other</v>
      </c>
      <c r="P53" t="str">
        <f t="shared" si="10"/>
        <v>Other</v>
      </c>
    </row>
    <row r="54" spans="1:16" x14ac:dyDescent="0.2">
      <c r="A54" t="s">
        <v>167</v>
      </c>
      <c r="B54" t="s">
        <v>226</v>
      </c>
      <c r="C54" s="2">
        <v>161011</v>
      </c>
      <c r="L54" t="str">
        <f t="shared" si="7"/>
        <v>Other</v>
      </c>
      <c r="M54" t="str">
        <f t="shared" si="8"/>
        <v>Other</v>
      </c>
      <c r="N54" t="str">
        <f t="shared" si="11"/>
        <v>Other</v>
      </c>
      <c r="O54" t="str">
        <f t="shared" si="12"/>
        <v>Other</v>
      </c>
      <c r="P54" t="str">
        <f t="shared" si="10"/>
        <v>Other</v>
      </c>
    </row>
    <row r="55" spans="1:16" x14ac:dyDescent="0.2">
      <c r="A55" t="s">
        <v>167</v>
      </c>
      <c r="B55" t="s">
        <v>227</v>
      </c>
      <c r="C55" s="2">
        <v>159287</v>
      </c>
      <c r="D55" t="s">
        <v>355</v>
      </c>
      <c r="L55" t="str">
        <f t="shared" si="7"/>
        <v>Other</v>
      </c>
      <c r="M55" t="str">
        <f t="shared" si="8"/>
        <v>Other</v>
      </c>
      <c r="N55" t="str">
        <f t="shared" si="11"/>
        <v>Other</v>
      </c>
      <c r="O55" t="str">
        <f t="shared" si="12"/>
        <v>Other</v>
      </c>
      <c r="P55" t="str">
        <f t="shared" si="10"/>
        <v>Other</v>
      </c>
    </row>
    <row r="56" spans="1:16" x14ac:dyDescent="0.2">
      <c r="A56" t="s">
        <v>155</v>
      </c>
      <c r="B56" t="s">
        <v>228</v>
      </c>
      <c r="C56" s="2">
        <v>159287</v>
      </c>
      <c r="D56" t="s">
        <v>355</v>
      </c>
      <c r="L56" t="str">
        <f t="shared" si="7"/>
        <v>Other</v>
      </c>
      <c r="M56" t="str">
        <f t="shared" si="8"/>
        <v>Other</v>
      </c>
      <c r="N56" t="str">
        <f t="shared" si="11"/>
        <v>Other</v>
      </c>
      <c r="O56" t="str">
        <f t="shared" si="12"/>
        <v>Other</v>
      </c>
      <c r="P56" t="str">
        <f t="shared" si="10"/>
        <v>Blog</v>
      </c>
    </row>
    <row r="57" spans="1:16" x14ac:dyDescent="0.2">
      <c r="A57" t="s">
        <v>167</v>
      </c>
      <c r="B57" t="s">
        <v>229</v>
      </c>
      <c r="C57" s="2">
        <v>158899</v>
      </c>
      <c r="D57" t="s">
        <v>355</v>
      </c>
      <c r="L57" t="str">
        <f t="shared" si="7"/>
        <v>Other</v>
      </c>
      <c r="M57" t="str">
        <f t="shared" si="8"/>
        <v>Other</v>
      </c>
      <c r="N57" t="str">
        <f t="shared" si="11"/>
        <v>Other</v>
      </c>
      <c r="O57" t="str">
        <f t="shared" si="12"/>
        <v>Other</v>
      </c>
      <c r="P57" t="str">
        <f t="shared" si="10"/>
        <v>Other</v>
      </c>
    </row>
    <row r="58" spans="1:16" x14ac:dyDescent="0.2">
      <c r="A58" t="s">
        <v>167</v>
      </c>
      <c r="B58" t="s">
        <v>230</v>
      </c>
      <c r="C58" s="2">
        <v>158899</v>
      </c>
      <c r="L58" t="str">
        <f t="shared" si="7"/>
        <v>Other</v>
      </c>
      <c r="M58" t="str">
        <f t="shared" si="8"/>
        <v>Other</v>
      </c>
      <c r="N58" t="str">
        <f t="shared" si="11"/>
        <v>Other</v>
      </c>
      <c r="O58" t="str">
        <f t="shared" si="12"/>
        <v>Other</v>
      </c>
      <c r="P58" t="str">
        <f t="shared" si="10"/>
        <v>Other</v>
      </c>
    </row>
    <row r="59" spans="1:16" x14ac:dyDescent="0.2">
      <c r="A59" t="s">
        <v>167</v>
      </c>
      <c r="B59" t="s">
        <v>231</v>
      </c>
      <c r="C59" s="2">
        <v>156116</v>
      </c>
      <c r="L59" t="str">
        <f t="shared" si="7"/>
        <v>Other</v>
      </c>
      <c r="M59" t="str">
        <f t="shared" si="8"/>
        <v>Other</v>
      </c>
      <c r="N59" t="str">
        <f t="shared" si="11"/>
        <v>Other</v>
      </c>
      <c r="O59" t="str">
        <f t="shared" si="12"/>
        <v>Other</v>
      </c>
      <c r="P59" t="str">
        <f t="shared" si="10"/>
        <v>Other</v>
      </c>
    </row>
    <row r="60" spans="1:16" x14ac:dyDescent="0.2">
      <c r="A60" t="s">
        <v>155</v>
      </c>
      <c r="B60" t="s">
        <v>232</v>
      </c>
      <c r="C60" s="2">
        <v>156116</v>
      </c>
      <c r="D60" t="s">
        <v>355</v>
      </c>
      <c r="L60" t="str">
        <f t="shared" si="7"/>
        <v>Other</v>
      </c>
      <c r="M60" t="str">
        <f t="shared" si="8"/>
        <v>Other</v>
      </c>
      <c r="N60" t="str">
        <f t="shared" si="11"/>
        <v>Other</v>
      </c>
      <c r="O60" t="str">
        <f t="shared" si="12"/>
        <v>Other</v>
      </c>
      <c r="P60" t="str">
        <f t="shared" si="10"/>
        <v>Blog</v>
      </c>
    </row>
    <row r="61" spans="1:16" x14ac:dyDescent="0.2">
      <c r="A61" t="s">
        <v>167</v>
      </c>
      <c r="B61" t="s">
        <v>233</v>
      </c>
      <c r="C61" s="2">
        <v>152587</v>
      </c>
      <c r="L61" t="str">
        <f t="shared" si="7"/>
        <v>Other</v>
      </c>
      <c r="M61" t="str">
        <f t="shared" si="8"/>
        <v>Other</v>
      </c>
      <c r="N61" t="str">
        <f t="shared" si="11"/>
        <v>Other</v>
      </c>
      <c r="O61" t="str">
        <f t="shared" si="12"/>
        <v>Other</v>
      </c>
      <c r="P61" t="str">
        <f t="shared" si="10"/>
        <v>Other</v>
      </c>
    </row>
    <row r="62" spans="1:16" x14ac:dyDescent="0.2">
      <c r="A62" t="s">
        <v>155</v>
      </c>
      <c r="B62" t="s">
        <v>234</v>
      </c>
      <c r="C62" s="2">
        <v>152587</v>
      </c>
      <c r="D62" t="s">
        <v>355</v>
      </c>
      <c r="L62" t="str">
        <f t="shared" si="7"/>
        <v>Other</v>
      </c>
      <c r="M62" t="str">
        <f t="shared" si="8"/>
        <v>Other</v>
      </c>
      <c r="N62" t="str">
        <f t="shared" si="11"/>
        <v>Other</v>
      </c>
      <c r="O62" t="str">
        <f t="shared" si="12"/>
        <v>Other</v>
      </c>
      <c r="P62" t="str">
        <f t="shared" si="10"/>
        <v>Blog</v>
      </c>
    </row>
    <row r="63" spans="1:16" x14ac:dyDescent="0.2">
      <c r="A63" t="s">
        <v>167</v>
      </c>
      <c r="B63" t="s">
        <v>235</v>
      </c>
      <c r="C63" s="2">
        <v>150932</v>
      </c>
      <c r="D63" t="s">
        <v>355</v>
      </c>
      <c r="L63" t="str">
        <f t="shared" si="7"/>
        <v>Other</v>
      </c>
      <c r="M63" t="str">
        <f t="shared" si="8"/>
        <v>Other</v>
      </c>
      <c r="N63" t="str">
        <f t="shared" si="11"/>
        <v>Other</v>
      </c>
      <c r="O63" t="str">
        <f t="shared" si="12"/>
        <v>Other</v>
      </c>
      <c r="P63" t="str">
        <f t="shared" si="10"/>
        <v>Other</v>
      </c>
    </row>
    <row r="64" spans="1:16" x14ac:dyDescent="0.2">
      <c r="A64" t="s">
        <v>167</v>
      </c>
      <c r="B64" t="s">
        <v>236</v>
      </c>
      <c r="C64" s="2">
        <v>150932</v>
      </c>
      <c r="L64" t="str">
        <f t="shared" si="7"/>
        <v>Other</v>
      </c>
      <c r="M64" t="str">
        <f t="shared" si="8"/>
        <v>Other</v>
      </c>
      <c r="N64" t="str">
        <f t="shared" si="11"/>
        <v>Other</v>
      </c>
      <c r="O64" t="str">
        <f t="shared" si="12"/>
        <v>Other</v>
      </c>
      <c r="P64" t="str">
        <f t="shared" si="10"/>
        <v>Other</v>
      </c>
    </row>
    <row r="65" spans="1:16" x14ac:dyDescent="0.2">
      <c r="A65" t="s">
        <v>167</v>
      </c>
      <c r="B65" t="s">
        <v>237</v>
      </c>
      <c r="C65" s="2">
        <v>150930</v>
      </c>
      <c r="D65" t="s">
        <v>355</v>
      </c>
      <c r="L65" t="str">
        <f t="shared" si="7"/>
        <v>Other</v>
      </c>
      <c r="M65" t="str">
        <f t="shared" si="8"/>
        <v>Other</v>
      </c>
      <c r="N65" t="str">
        <f t="shared" si="11"/>
        <v>Other</v>
      </c>
      <c r="O65" t="str">
        <f t="shared" si="12"/>
        <v>Other</v>
      </c>
      <c r="P65" t="str">
        <f t="shared" si="10"/>
        <v>Other</v>
      </c>
    </row>
    <row r="66" spans="1:16" x14ac:dyDescent="0.2">
      <c r="A66" t="s">
        <v>167</v>
      </c>
      <c r="B66" t="s">
        <v>238</v>
      </c>
      <c r="C66" s="2">
        <v>150930</v>
      </c>
      <c r="L66" t="str">
        <f t="shared" ref="L66:L97" si="13">IF(OR(ISNUMBER(SEARCH("maestria",B66))),"Maestría","Other")</f>
        <v>Other</v>
      </c>
      <c r="M66" t="str">
        <f t="shared" ref="M66:M97" si="14">IF(OR(ISNUMBER(SEARCH("licenciatura",B66))),"Licenciatura","Other")</f>
        <v>Other</v>
      </c>
      <c r="N66" t="str">
        <f t="shared" si="11"/>
        <v>Other</v>
      </c>
      <c r="O66" t="str">
        <f t="shared" si="12"/>
        <v>Other</v>
      </c>
      <c r="P66" t="str">
        <f t="shared" si="10"/>
        <v>Other</v>
      </c>
    </row>
    <row r="67" spans="1:16" x14ac:dyDescent="0.2">
      <c r="A67" t="s">
        <v>167</v>
      </c>
      <c r="B67" t="s">
        <v>239</v>
      </c>
      <c r="C67" s="2">
        <v>150084</v>
      </c>
      <c r="D67" t="s">
        <v>355</v>
      </c>
      <c r="L67" t="str">
        <f t="shared" si="13"/>
        <v>Other</v>
      </c>
      <c r="M67" t="str">
        <f t="shared" si="14"/>
        <v>Other</v>
      </c>
      <c r="N67" t="str">
        <f t="shared" si="11"/>
        <v>Other</v>
      </c>
      <c r="O67" t="str">
        <f t="shared" si="12"/>
        <v>Other</v>
      </c>
      <c r="P67" t="str">
        <f t="shared" ref="P67:P90" si="15">IF(OR(ISNUMBER(SEARCH("category",B67))),"Blog","Other")</f>
        <v>Other</v>
      </c>
    </row>
    <row r="68" spans="1:16" x14ac:dyDescent="0.2">
      <c r="A68" t="s">
        <v>167</v>
      </c>
      <c r="B68" t="s">
        <v>240</v>
      </c>
      <c r="C68" s="2">
        <v>150084</v>
      </c>
      <c r="L68" t="str">
        <f t="shared" si="13"/>
        <v>Other</v>
      </c>
      <c r="M68" t="str">
        <f t="shared" si="14"/>
        <v>Other</v>
      </c>
      <c r="N68" t="str">
        <f t="shared" si="11"/>
        <v>Other</v>
      </c>
      <c r="O68" t="str">
        <f t="shared" si="12"/>
        <v>Other</v>
      </c>
      <c r="P68" t="str">
        <f t="shared" si="15"/>
        <v>Other</v>
      </c>
    </row>
    <row r="69" spans="1:16" x14ac:dyDescent="0.2">
      <c r="A69" t="s">
        <v>167</v>
      </c>
      <c r="B69" t="s">
        <v>241</v>
      </c>
      <c r="C69" s="2">
        <v>149833</v>
      </c>
      <c r="L69" t="str">
        <f t="shared" si="13"/>
        <v>Other</v>
      </c>
      <c r="M69" t="str">
        <f t="shared" si="14"/>
        <v>Other</v>
      </c>
      <c r="N69" t="str">
        <f t="shared" si="11"/>
        <v>Other</v>
      </c>
      <c r="O69" t="str">
        <f t="shared" si="12"/>
        <v>Other</v>
      </c>
      <c r="P69" t="str">
        <f t="shared" si="15"/>
        <v>Other</v>
      </c>
    </row>
    <row r="70" spans="1:16" x14ac:dyDescent="0.2">
      <c r="A70" t="s">
        <v>167</v>
      </c>
      <c r="B70" t="s">
        <v>242</v>
      </c>
      <c r="C70" s="2">
        <v>149833</v>
      </c>
      <c r="L70" t="str">
        <f t="shared" si="13"/>
        <v>Other</v>
      </c>
      <c r="M70" t="str">
        <f t="shared" si="14"/>
        <v>Other</v>
      </c>
      <c r="N70" t="str">
        <f t="shared" si="11"/>
        <v>Other</v>
      </c>
      <c r="O70" t="str">
        <f t="shared" si="12"/>
        <v>Other</v>
      </c>
      <c r="P70" t="str">
        <f t="shared" si="15"/>
        <v>Other</v>
      </c>
    </row>
    <row r="71" spans="1:16" x14ac:dyDescent="0.2">
      <c r="A71" t="s">
        <v>167</v>
      </c>
      <c r="B71" t="s">
        <v>243</v>
      </c>
      <c r="C71" s="2">
        <v>148984</v>
      </c>
      <c r="D71" t="s">
        <v>355</v>
      </c>
      <c r="L71" t="str">
        <f t="shared" si="13"/>
        <v>Other</v>
      </c>
      <c r="M71" t="str">
        <f t="shared" si="14"/>
        <v>Other</v>
      </c>
      <c r="N71" t="str">
        <f t="shared" si="11"/>
        <v>Other</v>
      </c>
      <c r="O71" t="str">
        <f t="shared" si="12"/>
        <v>Other</v>
      </c>
      <c r="P71" t="str">
        <f t="shared" si="15"/>
        <v>Other</v>
      </c>
    </row>
    <row r="72" spans="1:16" x14ac:dyDescent="0.2">
      <c r="A72" t="s">
        <v>155</v>
      </c>
      <c r="B72" t="s">
        <v>244</v>
      </c>
      <c r="C72" s="2">
        <v>148984</v>
      </c>
      <c r="D72" t="s">
        <v>355</v>
      </c>
      <c r="L72" t="str">
        <f t="shared" si="13"/>
        <v>Other</v>
      </c>
      <c r="M72" t="str">
        <f t="shared" si="14"/>
        <v>Other</v>
      </c>
      <c r="N72" t="str">
        <f t="shared" si="11"/>
        <v>Other</v>
      </c>
      <c r="O72" t="str">
        <f t="shared" si="12"/>
        <v>Other</v>
      </c>
      <c r="P72" t="str">
        <f t="shared" si="15"/>
        <v>Blog</v>
      </c>
    </row>
    <row r="73" spans="1:16" x14ac:dyDescent="0.2">
      <c r="A73" t="s">
        <v>167</v>
      </c>
      <c r="B73" t="s">
        <v>245</v>
      </c>
      <c r="C73" s="2">
        <v>148081</v>
      </c>
      <c r="L73" t="str">
        <f t="shared" si="13"/>
        <v>Other</v>
      </c>
      <c r="M73" t="str">
        <f t="shared" si="14"/>
        <v>Other</v>
      </c>
      <c r="N73" t="str">
        <f t="shared" si="11"/>
        <v>Other</v>
      </c>
      <c r="O73" t="str">
        <f t="shared" si="12"/>
        <v>Other</v>
      </c>
      <c r="P73" t="str">
        <f t="shared" si="15"/>
        <v>Other</v>
      </c>
    </row>
    <row r="74" spans="1:16" x14ac:dyDescent="0.2">
      <c r="A74" t="s">
        <v>167</v>
      </c>
      <c r="B74" t="s">
        <v>246</v>
      </c>
      <c r="C74" s="2">
        <v>148081</v>
      </c>
      <c r="L74" t="str">
        <f t="shared" si="13"/>
        <v>Other</v>
      </c>
      <c r="M74" t="str">
        <f t="shared" si="14"/>
        <v>Other</v>
      </c>
      <c r="N74" t="str">
        <f t="shared" si="11"/>
        <v>Other</v>
      </c>
      <c r="O74" t="str">
        <f t="shared" si="12"/>
        <v>Other</v>
      </c>
      <c r="P74" t="str">
        <f t="shared" si="15"/>
        <v>Other</v>
      </c>
    </row>
    <row r="75" spans="1:16" x14ac:dyDescent="0.2">
      <c r="A75" t="s">
        <v>155</v>
      </c>
      <c r="B75" t="s">
        <v>247</v>
      </c>
      <c r="C75" s="2">
        <v>147797</v>
      </c>
      <c r="D75" t="s">
        <v>355</v>
      </c>
      <c r="L75" t="str">
        <f t="shared" si="13"/>
        <v>Other</v>
      </c>
      <c r="M75" t="str">
        <f t="shared" si="14"/>
        <v>Other</v>
      </c>
      <c r="N75" t="str">
        <f t="shared" si="11"/>
        <v>Other</v>
      </c>
      <c r="O75" t="str">
        <f t="shared" si="12"/>
        <v>Other</v>
      </c>
      <c r="P75" t="str">
        <f t="shared" si="15"/>
        <v>Other</v>
      </c>
    </row>
    <row r="76" spans="1:16" x14ac:dyDescent="0.2">
      <c r="A76" t="s">
        <v>167</v>
      </c>
      <c r="B76" t="s">
        <v>248</v>
      </c>
      <c r="C76" s="2">
        <v>147797</v>
      </c>
      <c r="L76" t="str">
        <f t="shared" si="13"/>
        <v>Other</v>
      </c>
      <c r="M76" t="str">
        <f t="shared" si="14"/>
        <v>Other</v>
      </c>
      <c r="N76" t="str">
        <f t="shared" ref="N76:N107" si="16">IF(OR(ISNUMBER(SEARCH("conflictos",B76))),"conflictos","Other")</f>
        <v>Other</v>
      </c>
      <c r="O76" t="str">
        <f t="shared" si="12"/>
        <v>Other</v>
      </c>
      <c r="P76" t="str">
        <f t="shared" si="15"/>
        <v>Other</v>
      </c>
    </row>
    <row r="77" spans="1:16" x14ac:dyDescent="0.2">
      <c r="A77" t="s">
        <v>155</v>
      </c>
      <c r="B77" t="s">
        <v>249</v>
      </c>
      <c r="C77" s="2">
        <v>147126</v>
      </c>
      <c r="D77" t="s">
        <v>355</v>
      </c>
      <c r="L77" t="str">
        <f t="shared" si="13"/>
        <v>Other</v>
      </c>
      <c r="M77" t="str">
        <f t="shared" si="14"/>
        <v>Other</v>
      </c>
      <c r="N77" t="str">
        <f t="shared" si="16"/>
        <v>Other</v>
      </c>
      <c r="O77" t="str">
        <f t="shared" si="12"/>
        <v>Other</v>
      </c>
      <c r="P77" t="str">
        <f t="shared" si="15"/>
        <v>Other</v>
      </c>
    </row>
    <row r="78" spans="1:16" x14ac:dyDescent="0.2">
      <c r="A78" t="s">
        <v>167</v>
      </c>
      <c r="B78" t="s">
        <v>250</v>
      </c>
      <c r="C78" s="2">
        <v>147126</v>
      </c>
      <c r="L78" t="str">
        <f t="shared" si="13"/>
        <v>Other</v>
      </c>
      <c r="M78" t="str">
        <f t="shared" si="14"/>
        <v>Other</v>
      </c>
      <c r="N78" t="str">
        <f t="shared" si="16"/>
        <v>Other</v>
      </c>
      <c r="O78" t="str">
        <f t="shared" si="12"/>
        <v>Other</v>
      </c>
      <c r="P78" t="str">
        <f t="shared" si="15"/>
        <v>Other</v>
      </c>
    </row>
    <row r="79" spans="1:16" x14ac:dyDescent="0.2">
      <c r="A79" t="s">
        <v>153</v>
      </c>
      <c r="B79" t="s">
        <v>251</v>
      </c>
      <c r="C79" s="2">
        <v>146833</v>
      </c>
      <c r="D79" t="s">
        <v>355</v>
      </c>
      <c r="L79" t="str">
        <f t="shared" si="13"/>
        <v>Other</v>
      </c>
      <c r="M79" t="str">
        <f t="shared" si="14"/>
        <v>Other</v>
      </c>
      <c r="N79" t="str">
        <f t="shared" si="16"/>
        <v>Other</v>
      </c>
      <c r="O79" t="str">
        <f t="shared" si="12"/>
        <v>sesiones-informativas</v>
      </c>
      <c r="P79" t="str">
        <f t="shared" si="15"/>
        <v>Other</v>
      </c>
    </row>
    <row r="80" spans="1:16" x14ac:dyDescent="0.2">
      <c r="A80" t="s">
        <v>167</v>
      </c>
      <c r="B80" t="s">
        <v>252</v>
      </c>
      <c r="C80" s="2">
        <v>146833</v>
      </c>
      <c r="L80" t="str">
        <f t="shared" si="13"/>
        <v>Other</v>
      </c>
      <c r="M80" t="str">
        <f t="shared" si="14"/>
        <v>Other</v>
      </c>
      <c r="N80" t="str">
        <f t="shared" si="16"/>
        <v>Other</v>
      </c>
      <c r="O80" t="str">
        <f t="shared" si="12"/>
        <v>Other</v>
      </c>
      <c r="P80" t="str">
        <f t="shared" si="15"/>
        <v>Other</v>
      </c>
    </row>
    <row r="81" spans="1:16" x14ac:dyDescent="0.2">
      <c r="A81" t="s">
        <v>167</v>
      </c>
      <c r="B81" t="s">
        <v>253</v>
      </c>
      <c r="C81" s="2">
        <v>146735</v>
      </c>
      <c r="D81" t="s">
        <v>355</v>
      </c>
      <c r="L81" t="str">
        <f t="shared" si="13"/>
        <v>Other</v>
      </c>
      <c r="M81" t="str">
        <f t="shared" si="14"/>
        <v>Other</v>
      </c>
      <c r="N81" t="str">
        <f t="shared" si="16"/>
        <v>Other</v>
      </c>
      <c r="O81" t="str">
        <f t="shared" ref="O81:O112" si="17">IF(OR(ISNUMBER(SEARCH("sesiones-informativas",B81))),"sesiones-informativas","Other")</f>
        <v>Other</v>
      </c>
      <c r="P81" t="str">
        <f t="shared" si="15"/>
        <v>Other</v>
      </c>
    </row>
    <row r="82" spans="1:16" x14ac:dyDescent="0.2">
      <c r="A82" t="s">
        <v>167</v>
      </c>
      <c r="B82" t="s">
        <v>254</v>
      </c>
      <c r="C82" s="2">
        <v>146735</v>
      </c>
      <c r="L82" t="str">
        <f t="shared" si="13"/>
        <v>Other</v>
      </c>
      <c r="M82" t="str">
        <f t="shared" si="14"/>
        <v>Other</v>
      </c>
      <c r="N82" t="str">
        <f t="shared" si="16"/>
        <v>Other</v>
      </c>
      <c r="O82" t="str">
        <f t="shared" si="17"/>
        <v>Other</v>
      </c>
      <c r="P82" t="str">
        <f t="shared" si="15"/>
        <v>Other</v>
      </c>
    </row>
    <row r="83" spans="1:16" x14ac:dyDescent="0.2">
      <c r="A83" t="s">
        <v>148</v>
      </c>
      <c r="B83" t="s">
        <v>255</v>
      </c>
      <c r="C83" s="2">
        <v>146585</v>
      </c>
      <c r="D83" t="s">
        <v>355</v>
      </c>
      <c r="L83" t="str">
        <f t="shared" si="13"/>
        <v>Other</v>
      </c>
      <c r="M83" t="str">
        <f t="shared" si="14"/>
        <v>Other</v>
      </c>
      <c r="N83" t="str">
        <f t="shared" si="16"/>
        <v>Other</v>
      </c>
      <c r="O83" t="str">
        <f t="shared" si="17"/>
        <v>Other</v>
      </c>
      <c r="P83" t="str">
        <f t="shared" si="15"/>
        <v>Other</v>
      </c>
    </row>
    <row r="84" spans="1:16" x14ac:dyDescent="0.2">
      <c r="A84" t="s">
        <v>167</v>
      </c>
      <c r="B84" t="s">
        <v>256</v>
      </c>
      <c r="C84" s="2">
        <v>146585</v>
      </c>
      <c r="L84" t="str">
        <f t="shared" si="13"/>
        <v>Other</v>
      </c>
      <c r="M84" t="str">
        <f t="shared" si="14"/>
        <v>Other</v>
      </c>
      <c r="N84" t="str">
        <f t="shared" si="16"/>
        <v>Other</v>
      </c>
      <c r="O84" t="str">
        <f t="shared" si="17"/>
        <v>Other</v>
      </c>
      <c r="P84" t="str">
        <f t="shared" si="15"/>
        <v>Other</v>
      </c>
    </row>
    <row r="85" spans="1:16" x14ac:dyDescent="0.2">
      <c r="A85" t="s">
        <v>146</v>
      </c>
      <c r="B85" t="s">
        <v>257</v>
      </c>
      <c r="C85" s="2">
        <v>146451</v>
      </c>
      <c r="D85" t="s">
        <v>355</v>
      </c>
      <c r="L85" t="str">
        <f t="shared" si="13"/>
        <v>Maestría</v>
      </c>
      <c r="M85" t="str">
        <f t="shared" si="14"/>
        <v>Other</v>
      </c>
      <c r="N85" t="str">
        <f t="shared" si="16"/>
        <v>Other</v>
      </c>
      <c r="O85" t="str">
        <f t="shared" si="17"/>
        <v>Other</v>
      </c>
      <c r="P85" t="str">
        <f t="shared" si="15"/>
        <v>Other</v>
      </c>
    </row>
    <row r="86" spans="1:16" x14ac:dyDescent="0.2">
      <c r="A86" t="s">
        <v>155</v>
      </c>
      <c r="B86" t="s">
        <v>258</v>
      </c>
      <c r="C86" s="2">
        <v>146451</v>
      </c>
      <c r="D86" t="s">
        <v>355</v>
      </c>
      <c r="L86" t="str">
        <f t="shared" si="13"/>
        <v>Other</v>
      </c>
      <c r="M86" t="str">
        <f t="shared" si="14"/>
        <v>Other</v>
      </c>
      <c r="N86" t="str">
        <f t="shared" si="16"/>
        <v>Other</v>
      </c>
      <c r="O86" t="str">
        <f t="shared" si="17"/>
        <v>Other</v>
      </c>
      <c r="P86" t="str">
        <f t="shared" si="15"/>
        <v>Blog</v>
      </c>
    </row>
    <row r="87" spans="1:16" x14ac:dyDescent="0.2">
      <c r="A87" t="s">
        <v>167</v>
      </c>
      <c r="B87" t="s">
        <v>259</v>
      </c>
      <c r="C87" s="2">
        <v>146292</v>
      </c>
      <c r="D87" t="s">
        <v>355</v>
      </c>
      <c r="L87" t="str">
        <f t="shared" si="13"/>
        <v>Other</v>
      </c>
      <c r="M87" t="str">
        <f t="shared" si="14"/>
        <v>Other</v>
      </c>
      <c r="N87" t="str">
        <f t="shared" si="16"/>
        <v>Other</v>
      </c>
      <c r="O87" t="str">
        <f t="shared" si="17"/>
        <v>Other</v>
      </c>
      <c r="P87" t="str">
        <f t="shared" si="15"/>
        <v>Other</v>
      </c>
    </row>
    <row r="88" spans="1:16" x14ac:dyDescent="0.2">
      <c r="A88" t="s">
        <v>167</v>
      </c>
      <c r="B88" t="s">
        <v>260</v>
      </c>
      <c r="C88" s="2">
        <v>146292</v>
      </c>
      <c r="L88" t="str">
        <f t="shared" si="13"/>
        <v>Other</v>
      </c>
      <c r="M88" t="str">
        <f t="shared" si="14"/>
        <v>Other</v>
      </c>
      <c r="N88" t="str">
        <f t="shared" si="16"/>
        <v>Other</v>
      </c>
      <c r="O88" t="str">
        <f t="shared" si="17"/>
        <v>Other</v>
      </c>
      <c r="P88" t="str">
        <f t="shared" si="15"/>
        <v>Other</v>
      </c>
    </row>
    <row r="89" spans="1:16" x14ac:dyDescent="0.2">
      <c r="A89" t="s">
        <v>167</v>
      </c>
      <c r="B89" t="s">
        <v>261</v>
      </c>
      <c r="C89" s="2">
        <v>146286</v>
      </c>
      <c r="L89" t="str">
        <f t="shared" si="13"/>
        <v>Other</v>
      </c>
      <c r="M89" t="str">
        <f t="shared" si="14"/>
        <v>Other</v>
      </c>
      <c r="N89" t="str">
        <f t="shared" si="16"/>
        <v>Other</v>
      </c>
      <c r="O89" t="str">
        <f t="shared" si="17"/>
        <v>Other</v>
      </c>
      <c r="P89" t="str">
        <f t="shared" si="15"/>
        <v>Other</v>
      </c>
    </row>
    <row r="90" spans="1:16" x14ac:dyDescent="0.2">
      <c r="A90" t="s">
        <v>167</v>
      </c>
      <c r="B90" t="s">
        <v>262</v>
      </c>
      <c r="C90" s="2">
        <v>146286</v>
      </c>
      <c r="L90" t="str">
        <f t="shared" si="13"/>
        <v>Other</v>
      </c>
      <c r="M90" t="str">
        <f t="shared" si="14"/>
        <v>Other</v>
      </c>
      <c r="N90" t="str">
        <f t="shared" si="16"/>
        <v>Other</v>
      </c>
      <c r="O90" t="str">
        <f t="shared" si="17"/>
        <v>Other</v>
      </c>
      <c r="P90" t="str">
        <f t="shared" si="15"/>
        <v>Other</v>
      </c>
    </row>
    <row r="91" spans="1:16" x14ac:dyDescent="0.2">
      <c r="A91" t="s">
        <v>167</v>
      </c>
      <c r="B91" t="s">
        <v>263</v>
      </c>
      <c r="C91" s="2">
        <v>146019</v>
      </c>
      <c r="D91" t="s">
        <v>355</v>
      </c>
      <c r="L91" t="str">
        <f t="shared" si="13"/>
        <v>Other</v>
      </c>
      <c r="M91" t="str">
        <f t="shared" si="14"/>
        <v>Other</v>
      </c>
      <c r="N91" t="str">
        <f t="shared" si="16"/>
        <v>Other</v>
      </c>
      <c r="O91" t="str">
        <f t="shared" si="17"/>
        <v>Other</v>
      </c>
    </row>
    <row r="92" spans="1:16" x14ac:dyDescent="0.2">
      <c r="A92" t="s">
        <v>167</v>
      </c>
      <c r="B92" t="s">
        <v>264</v>
      </c>
      <c r="C92" s="2">
        <v>146019</v>
      </c>
      <c r="L92" t="str">
        <f t="shared" si="13"/>
        <v>Other</v>
      </c>
      <c r="M92" t="str">
        <f t="shared" si="14"/>
        <v>Other</v>
      </c>
      <c r="N92" t="str">
        <f t="shared" si="16"/>
        <v>Other</v>
      </c>
      <c r="O92" t="str">
        <f t="shared" si="17"/>
        <v>Other</v>
      </c>
      <c r="P92" t="str">
        <f t="shared" ref="P92:P99" si="18">IF(OR(ISNUMBER(SEARCH("category",B92))),"Blog","Other")</f>
        <v>Other</v>
      </c>
    </row>
    <row r="93" spans="1:16" x14ac:dyDescent="0.2">
      <c r="A93" t="s">
        <v>146</v>
      </c>
      <c r="B93" t="s">
        <v>265</v>
      </c>
      <c r="C93" s="2">
        <v>146007</v>
      </c>
      <c r="D93" t="s">
        <v>355</v>
      </c>
      <c r="L93" t="str">
        <f t="shared" si="13"/>
        <v>Maestría</v>
      </c>
      <c r="M93" t="str">
        <f t="shared" si="14"/>
        <v>Other</v>
      </c>
      <c r="N93" t="str">
        <f t="shared" si="16"/>
        <v>Other</v>
      </c>
      <c r="O93" t="str">
        <f t="shared" si="17"/>
        <v>Other</v>
      </c>
      <c r="P93" t="str">
        <f t="shared" si="18"/>
        <v>Other</v>
      </c>
    </row>
    <row r="94" spans="1:16" x14ac:dyDescent="0.2">
      <c r="A94" t="s">
        <v>167</v>
      </c>
      <c r="B94" t="s">
        <v>266</v>
      </c>
      <c r="C94" s="2">
        <v>146007</v>
      </c>
      <c r="L94" t="str">
        <f t="shared" si="13"/>
        <v>Other</v>
      </c>
      <c r="M94" t="str">
        <f t="shared" si="14"/>
        <v>Other</v>
      </c>
      <c r="N94" t="str">
        <f t="shared" si="16"/>
        <v>Other</v>
      </c>
      <c r="O94" t="str">
        <f t="shared" si="17"/>
        <v>Other</v>
      </c>
      <c r="P94" t="str">
        <f t="shared" si="18"/>
        <v>Other</v>
      </c>
    </row>
    <row r="95" spans="1:16" x14ac:dyDescent="0.2">
      <c r="A95" t="s">
        <v>153</v>
      </c>
      <c r="B95" t="s">
        <v>267</v>
      </c>
      <c r="C95" s="2">
        <v>145899</v>
      </c>
      <c r="D95" t="s">
        <v>355</v>
      </c>
      <c r="L95" t="str">
        <f t="shared" si="13"/>
        <v>Other</v>
      </c>
      <c r="M95" t="str">
        <f t="shared" si="14"/>
        <v>Other</v>
      </c>
      <c r="N95" t="str">
        <f t="shared" si="16"/>
        <v>Other</v>
      </c>
      <c r="O95" t="str">
        <f t="shared" si="17"/>
        <v>Other</v>
      </c>
      <c r="P95" s="1" t="str">
        <f t="shared" si="18"/>
        <v>Other</v>
      </c>
    </row>
    <row r="96" spans="1:16" x14ac:dyDescent="0.2">
      <c r="A96" t="s">
        <v>155</v>
      </c>
      <c r="B96" t="s">
        <v>268</v>
      </c>
      <c r="C96" s="2">
        <v>145899</v>
      </c>
      <c r="D96" t="s">
        <v>355</v>
      </c>
      <c r="L96" t="str">
        <f t="shared" si="13"/>
        <v>Other</v>
      </c>
      <c r="M96" t="str">
        <f t="shared" si="14"/>
        <v>Other</v>
      </c>
      <c r="N96" t="str">
        <f t="shared" si="16"/>
        <v>Other</v>
      </c>
      <c r="O96" t="str">
        <f t="shared" si="17"/>
        <v>Other</v>
      </c>
      <c r="P96" s="1" t="str">
        <f t="shared" si="18"/>
        <v>Blog</v>
      </c>
    </row>
    <row r="97" spans="1:16" x14ac:dyDescent="0.2">
      <c r="A97" t="s">
        <v>167</v>
      </c>
      <c r="B97" t="s">
        <v>269</v>
      </c>
      <c r="C97" s="2">
        <v>145895</v>
      </c>
      <c r="D97" t="s">
        <v>355</v>
      </c>
      <c r="L97" t="str">
        <f t="shared" si="13"/>
        <v>Other</v>
      </c>
      <c r="M97" t="str">
        <f t="shared" si="14"/>
        <v>Other</v>
      </c>
      <c r="N97" t="str">
        <f t="shared" si="16"/>
        <v>Other</v>
      </c>
      <c r="O97" t="str">
        <f t="shared" si="17"/>
        <v>Other</v>
      </c>
      <c r="P97" s="1" t="str">
        <f t="shared" si="18"/>
        <v>Other</v>
      </c>
    </row>
    <row r="98" spans="1:16" x14ac:dyDescent="0.2">
      <c r="A98" t="s">
        <v>155</v>
      </c>
      <c r="B98" t="s">
        <v>270</v>
      </c>
      <c r="C98" s="2">
        <v>145895</v>
      </c>
      <c r="D98" t="s">
        <v>355</v>
      </c>
      <c r="L98" t="str">
        <f t="shared" ref="L98:L129" si="19">IF(OR(ISNUMBER(SEARCH("maestria",B98))),"Maestría","Other")</f>
        <v>Other</v>
      </c>
      <c r="M98" t="str">
        <f t="shared" ref="M98:M129" si="20">IF(OR(ISNUMBER(SEARCH("licenciatura",B98))),"Licenciatura","Other")</f>
        <v>Other</v>
      </c>
      <c r="N98" t="str">
        <f t="shared" si="16"/>
        <v>Other</v>
      </c>
      <c r="O98" t="str">
        <f t="shared" si="17"/>
        <v>Other</v>
      </c>
      <c r="P98" s="1" t="str">
        <f t="shared" si="18"/>
        <v>Blog</v>
      </c>
    </row>
    <row r="99" spans="1:16" x14ac:dyDescent="0.2">
      <c r="A99" t="s">
        <v>153</v>
      </c>
      <c r="B99" t="s">
        <v>271</v>
      </c>
      <c r="C99" s="2">
        <v>145866</v>
      </c>
      <c r="D99" t="s">
        <v>355</v>
      </c>
      <c r="L99" t="str">
        <f t="shared" si="19"/>
        <v>Other</v>
      </c>
      <c r="M99" t="str">
        <f t="shared" si="20"/>
        <v>Other</v>
      </c>
      <c r="N99" t="str">
        <f t="shared" si="16"/>
        <v>Other</v>
      </c>
      <c r="O99" t="str">
        <f t="shared" si="17"/>
        <v>Other</v>
      </c>
      <c r="P99" s="1" t="str">
        <f t="shared" si="18"/>
        <v>Other</v>
      </c>
    </row>
    <row r="100" spans="1:16" x14ac:dyDescent="0.2">
      <c r="A100" t="s">
        <v>167</v>
      </c>
      <c r="B100" t="s">
        <v>272</v>
      </c>
      <c r="C100" s="2">
        <v>145866</v>
      </c>
      <c r="L100" t="str">
        <f t="shared" si="19"/>
        <v>Other</v>
      </c>
      <c r="M100" t="str">
        <f t="shared" si="20"/>
        <v>Other</v>
      </c>
      <c r="N100" t="str">
        <f t="shared" si="16"/>
        <v>Other</v>
      </c>
      <c r="O100" t="str">
        <f t="shared" si="17"/>
        <v>Other</v>
      </c>
      <c r="P100" s="1" t="s">
        <v>155</v>
      </c>
    </row>
    <row r="101" spans="1:16" x14ac:dyDescent="0.2">
      <c r="A101" t="s">
        <v>153</v>
      </c>
      <c r="B101" t="s">
        <v>273</v>
      </c>
      <c r="C101" s="2">
        <v>145860</v>
      </c>
      <c r="D101" t="s">
        <v>355</v>
      </c>
      <c r="L101" t="str">
        <f t="shared" si="19"/>
        <v>Other</v>
      </c>
      <c r="M101" t="str">
        <f t="shared" si="20"/>
        <v>Other</v>
      </c>
      <c r="N101" t="str">
        <f t="shared" si="16"/>
        <v>Other</v>
      </c>
      <c r="O101" t="str">
        <f t="shared" si="17"/>
        <v>Other</v>
      </c>
      <c r="P101" s="1" t="str">
        <f t="shared" ref="P101:P139" si="21">IF(OR(ISNUMBER(SEARCH("category",B101))),"Blog","Other")</f>
        <v>Other</v>
      </c>
    </row>
    <row r="102" spans="1:16" x14ac:dyDescent="0.2">
      <c r="A102" t="s">
        <v>167</v>
      </c>
      <c r="B102" t="s">
        <v>274</v>
      </c>
      <c r="C102" s="2">
        <v>145860</v>
      </c>
      <c r="L102" t="str">
        <f t="shared" si="19"/>
        <v>Other</v>
      </c>
      <c r="M102" t="str">
        <f t="shared" si="20"/>
        <v>Other</v>
      </c>
      <c r="N102" t="str">
        <f t="shared" si="16"/>
        <v>Other</v>
      </c>
      <c r="O102" t="str">
        <f t="shared" si="17"/>
        <v>Other</v>
      </c>
      <c r="P102" t="str">
        <f t="shared" si="21"/>
        <v>Other</v>
      </c>
    </row>
    <row r="103" spans="1:16" x14ac:dyDescent="0.2">
      <c r="A103" t="s">
        <v>167</v>
      </c>
      <c r="B103" t="s">
        <v>275</v>
      </c>
      <c r="C103" s="2">
        <v>145834</v>
      </c>
      <c r="D103" t="s">
        <v>355</v>
      </c>
      <c r="L103" t="str">
        <f t="shared" si="19"/>
        <v>Other</v>
      </c>
      <c r="M103" t="str">
        <f t="shared" si="20"/>
        <v>Other</v>
      </c>
      <c r="N103" t="str">
        <f t="shared" si="16"/>
        <v>Other</v>
      </c>
      <c r="O103" t="str">
        <f t="shared" si="17"/>
        <v>Other</v>
      </c>
      <c r="P103" t="str">
        <f t="shared" si="21"/>
        <v>Other</v>
      </c>
    </row>
    <row r="104" spans="1:16" x14ac:dyDescent="0.2">
      <c r="A104" t="s">
        <v>167</v>
      </c>
      <c r="B104" t="s">
        <v>276</v>
      </c>
      <c r="C104" s="2">
        <v>145834</v>
      </c>
      <c r="L104" t="str">
        <f t="shared" si="19"/>
        <v>Other</v>
      </c>
      <c r="M104" t="str">
        <f t="shared" si="20"/>
        <v>Other</v>
      </c>
      <c r="N104" t="str">
        <f t="shared" si="16"/>
        <v>Other</v>
      </c>
      <c r="O104" t="str">
        <f t="shared" si="17"/>
        <v>Other</v>
      </c>
      <c r="P104" t="str">
        <f t="shared" si="21"/>
        <v>Other</v>
      </c>
    </row>
    <row r="105" spans="1:16" x14ac:dyDescent="0.2">
      <c r="A105" t="s">
        <v>146</v>
      </c>
      <c r="B105" t="s">
        <v>277</v>
      </c>
      <c r="C105" s="2">
        <v>145828</v>
      </c>
      <c r="D105" t="s">
        <v>355</v>
      </c>
      <c r="L105" t="str">
        <f t="shared" si="19"/>
        <v>Maestría</v>
      </c>
      <c r="M105" t="str">
        <f t="shared" si="20"/>
        <v>Other</v>
      </c>
      <c r="N105" t="str">
        <f t="shared" si="16"/>
        <v>Other</v>
      </c>
      <c r="O105" t="str">
        <f t="shared" si="17"/>
        <v>Other</v>
      </c>
      <c r="P105" t="str">
        <f t="shared" si="21"/>
        <v>Other</v>
      </c>
    </row>
    <row r="106" spans="1:16" x14ac:dyDescent="0.2">
      <c r="A106" t="s">
        <v>167</v>
      </c>
      <c r="B106" t="s">
        <v>278</v>
      </c>
      <c r="C106" s="2">
        <v>145828</v>
      </c>
      <c r="L106" t="str">
        <f t="shared" si="19"/>
        <v>Other</v>
      </c>
      <c r="M106" t="str">
        <f t="shared" si="20"/>
        <v>Other</v>
      </c>
      <c r="N106" t="str">
        <f t="shared" si="16"/>
        <v>Other</v>
      </c>
      <c r="O106" t="str">
        <f t="shared" si="17"/>
        <v>Other</v>
      </c>
      <c r="P106" t="str">
        <f t="shared" si="21"/>
        <v>Other</v>
      </c>
    </row>
    <row r="107" spans="1:16" x14ac:dyDescent="0.2">
      <c r="A107" t="s">
        <v>153</v>
      </c>
      <c r="B107" t="s">
        <v>279</v>
      </c>
      <c r="C107" s="2">
        <v>145814</v>
      </c>
      <c r="D107" t="s">
        <v>355</v>
      </c>
      <c r="L107" t="str">
        <f t="shared" si="19"/>
        <v>Other</v>
      </c>
      <c r="M107" t="str">
        <f t="shared" si="20"/>
        <v>Other</v>
      </c>
      <c r="N107" t="str">
        <f t="shared" si="16"/>
        <v>Other</v>
      </c>
      <c r="O107" t="str">
        <f t="shared" si="17"/>
        <v>Other</v>
      </c>
      <c r="P107" t="str">
        <f t="shared" si="21"/>
        <v>Other</v>
      </c>
    </row>
    <row r="108" spans="1:16" x14ac:dyDescent="0.2">
      <c r="A108" t="s">
        <v>167</v>
      </c>
      <c r="B108" t="s">
        <v>280</v>
      </c>
      <c r="C108" s="2">
        <v>145814</v>
      </c>
      <c r="L108" t="str">
        <f t="shared" si="19"/>
        <v>Other</v>
      </c>
      <c r="M108" t="str">
        <f t="shared" si="20"/>
        <v>Other</v>
      </c>
      <c r="N108" t="str">
        <f t="shared" ref="N108:N142" si="22">IF(OR(ISNUMBER(SEARCH("conflictos",B108))),"conflictos","Other")</f>
        <v>Other</v>
      </c>
      <c r="O108" t="str">
        <f t="shared" si="17"/>
        <v>Other</v>
      </c>
      <c r="P108" t="str">
        <f t="shared" si="21"/>
        <v>Other</v>
      </c>
    </row>
    <row r="109" spans="1:16" x14ac:dyDescent="0.2">
      <c r="A109" t="s">
        <v>148</v>
      </c>
      <c r="B109" t="s">
        <v>281</v>
      </c>
      <c r="C109" s="2">
        <v>145721</v>
      </c>
      <c r="D109" t="s">
        <v>355</v>
      </c>
      <c r="L109" t="str">
        <f t="shared" si="19"/>
        <v>Other</v>
      </c>
      <c r="M109" t="str">
        <f t="shared" si="20"/>
        <v>Other</v>
      </c>
      <c r="N109" t="str">
        <f t="shared" si="22"/>
        <v>conflictos</v>
      </c>
      <c r="O109" t="str">
        <f t="shared" si="17"/>
        <v>Other</v>
      </c>
      <c r="P109" t="str">
        <f t="shared" si="21"/>
        <v>Other</v>
      </c>
    </row>
    <row r="110" spans="1:16" x14ac:dyDescent="0.2">
      <c r="A110" t="s">
        <v>167</v>
      </c>
      <c r="B110" t="s">
        <v>282</v>
      </c>
      <c r="C110" s="2">
        <v>145721</v>
      </c>
      <c r="L110" t="str">
        <f t="shared" si="19"/>
        <v>Other</v>
      </c>
      <c r="M110" t="str">
        <f t="shared" si="20"/>
        <v>Other</v>
      </c>
      <c r="N110" t="str">
        <f t="shared" si="22"/>
        <v>Other</v>
      </c>
      <c r="O110" t="str">
        <f t="shared" si="17"/>
        <v>Other</v>
      </c>
      <c r="P110" t="str">
        <f t="shared" si="21"/>
        <v>Other</v>
      </c>
    </row>
    <row r="111" spans="1:16" x14ac:dyDescent="0.2">
      <c r="A111" t="s">
        <v>167</v>
      </c>
      <c r="B111" t="s">
        <v>283</v>
      </c>
      <c r="C111" s="2">
        <v>145650</v>
      </c>
      <c r="L111" t="str">
        <f t="shared" si="19"/>
        <v>Other</v>
      </c>
      <c r="M111" t="str">
        <f t="shared" si="20"/>
        <v>Other</v>
      </c>
      <c r="N111" t="str">
        <f t="shared" si="22"/>
        <v>Other</v>
      </c>
      <c r="O111" t="str">
        <f t="shared" si="17"/>
        <v>Other</v>
      </c>
      <c r="P111" t="str">
        <f t="shared" si="21"/>
        <v>Other</v>
      </c>
    </row>
    <row r="112" spans="1:16" x14ac:dyDescent="0.2">
      <c r="A112" t="s">
        <v>167</v>
      </c>
      <c r="B112" t="s">
        <v>284</v>
      </c>
      <c r="C112" s="2">
        <v>145650</v>
      </c>
      <c r="L112" t="str">
        <f t="shared" si="19"/>
        <v>Other</v>
      </c>
      <c r="M112" t="str">
        <f t="shared" si="20"/>
        <v>Other</v>
      </c>
      <c r="N112" t="str">
        <f t="shared" si="22"/>
        <v>Other</v>
      </c>
      <c r="O112" t="str">
        <f t="shared" si="17"/>
        <v>Other</v>
      </c>
      <c r="P112" t="str">
        <f t="shared" si="21"/>
        <v>Other</v>
      </c>
    </row>
    <row r="113" spans="1:16" x14ac:dyDescent="0.2">
      <c r="A113" t="s">
        <v>167</v>
      </c>
      <c r="B113" t="s">
        <v>285</v>
      </c>
      <c r="C113" s="2">
        <v>145648</v>
      </c>
      <c r="L113" t="str">
        <f t="shared" si="19"/>
        <v>Other</v>
      </c>
      <c r="M113" t="str">
        <f t="shared" si="20"/>
        <v>Other</v>
      </c>
      <c r="N113" t="str">
        <f t="shared" si="22"/>
        <v>Other</v>
      </c>
      <c r="O113" t="str">
        <f t="shared" ref="O113:O146" si="23">IF(OR(ISNUMBER(SEARCH("sesiones-informativas",B113))),"sesiones-informativas","Other")</f>
        <v>Other</v>
      </c>
      <c r="P113" t="str">
        <f t="shared" si="21"/>
        <v>Other</v>
      </c>
    </row>
    <row r="114" spans="1:16" x14ac:dyDescent="0.2">
      <c r="A114" t="s">
        <v>167</v>
      </c>
      <c r="B114" t="s">
        <v>286</v>
      </c>
      <c r="C114" s="2">
        <v>145648</v>
      </c>
      <c r="L114" t="str">
        <f t="shared" si="19"/>
        <v>Other</v>
      </c>
      <c r="M114" t="str">
        <f t="shared" si="20"/>
        <v>Other</v>
      </c>
      <c r="N114" t="str">
        <f t="shared" si="22"/>
        <v>Other</v>
      </c>
      <c r="O114" t="str">
        <f t="shared" si="23"/>
        <v>Other</v>
      </c>
      <c r="P114" t="str">
        <f t="shared" si="21"/>
        <v>Other</v>
      </c>
    </row>
    <row r="115" spans="1:16" x14ac:dyDescent="0.2">
      <c r="A115" t="s">
        <v>167</v>
      </c>
      <c r="B115" t="s">
        <v>287</v>
      </c>
      <c r="C115" s="2">
        <v>145556</v>
      </c>
      <c r="L115" t="str">
        <f t="shared" si="19"/>
        <v>Other</v>
      </c>
      <c r="M115" t="str">
        <f t="shared" si="20"/>
        <v>Other</v>
      </c>
      <c r="N115" t="str">
        <f t="shared" si="22"/>
        <v>Other</v>
      </c>
      <c r="O115" t="str">
        <f t="shared" si="23"/>
        <v>Other</v>
      </c>
      <c r="P115" t="str">
        <f t="shared" si="21"/>
        <v>Other</v>
      </c>
    </row>
    <row r="116" spans="1:16" x14ac:dyDescent="0.2">
      <c r="A116" t="s">
        <v>167</v>
      </c>
      <c r="B116" t="s">
        <v>288</v>
      </c>
      <c r="C116" s="2">
        <v>145556</v>
      </c>
      <c r="L116" t="str">
        <f t="shared" si="19"/>
        <v>Other</v>
      </c>
      <c r="M116" t="str">
        <f t="shared" si="20"/>
        <v>Other</v>
      </c>
      <c r="N116" t="str">
        <f t="shared" si="22"/>
        <v>Other</v>
      </c>
      <c r="O116" t="str">
        <f t="shared" si="23"/>
        <v>Other</v>
      </c>
      <c r="P116" t="str">
        <f t="shared" si="21"/>
        <v>Other</v>
      </c>
    </row>
    <row r="117" spans="1:16" x14ac:dyDescent="0.2">
      <c r="A117" t="s">
        <v>167</v>
      </c>
      <c r="B117" t="s">
        <v>289</v>
      </c>
      <c r="C117" s="2">
        <v>145400</v>
      </c>
      <c r="L117" t="str">
        <f t="shared" si="19"/>
        <v>Other</v>
      </c>
      <c r="M117" t="str">
        <f t="shared" si="20"/>
        <v>Other</v>
      </c>
      <c r="N117" t="str">
        <f t="shared" si="22"/>
        <v>Other</v>
      </c>
      <c r="O117" t="str">
        <f t="shared" si="23"/>
        <v>Other</v>
      </c>
      <c r="P117" t="str">
        <f t="shared" si="21"/>
        <v>Other</v>
      </c>
    </row>
    <row r="118" spans="1:16" x14ac:dyDescent="0.2">
      <c r="A118" t="s">
        <v>167</v>
      </c>
      <c r="B118" t="s">
        <v>290</v>
      </c>
      <c r="C118" s="2">
        <v>145400</v>
      </c>
      <c r="L118" t="str">
        <f t="shared" si="19"/>
        <v>Other</v>
      </c>
      <c r="M118" t="str">
        <f t="shared" si="20"/>
        <v>Other</v>
      </c>
      <c r="N118" t="str">
        <f t="shared" si="22"/>
        <v>Other</v>
      </c>
      <c r="O118" t="str">
        <f t="shared" si="23"/>
        <v>Other</v>
      </c>
      <c r="P118" t="str">
        <f t="shared" si="21"/>
        <v>Other</v>
      </c>
    </row>
    <row r="119" spans="1:16" x14ac:dyDescent="0.2">
      <c r="A119" t="s">
        <v>167</v>
      </c>
      <c r="B119" t="s">
        <v>291</v>
      </c>
      <c r="C119" s="2">
        <v>145365</v>
      </c>
      <c r="L119" t="str">
        <f t="shared" si="19"/>
        <v>Other</v>
      </c>
      <c r="M119" t="str">
        <f t="shared" si="20"/>
        <v>Other</v>
      </c>
      <c r="N119" t="str">
        <f t="shared" si="22"/>
        <v>Other</v>
      </c>
      <c r="O119" t="str">
        <f t="shared" si="23"/>
        <v>Other</v>
      </c>
      <c r="P119" t="str">
        <f t="shared" si="21"/>
        <v>Other</v>
      </c>
    </row>
    <row r="120" spans="1:16" x14ac:dyDescent="0.2">
      <c r="A120" t="s">
        <v>167</v>
      </c>
      <c r="B120" t="s">
        <v>292</v>
      </c>
      <c r="C120" s="2">
        <v>145365</v>
      </c>
      <c r="L120" t="str">
        <f t="shared" si="19"/>
        <v>Other</v>
      </c>
      <c r="M120" t="str">
        <f t="shared" si="20"/>
        <v>Other</v>
      </c>
      <c r="N120" t="str">
        <f t="shared" si="22"/>
        <v>Other</v>
      </c>
      <c r="O120" t="str">
        <f t="shared" si="23"/>
        <v>Other</v>
      </c>
      <c r="P120" t="str">
        <f t="shared" si="21"/>
        <v>Other</v>
      </c>
    </row>
    <row r="121" spans="1:16" x14ac:dyDescent="0.2">
      <c r="A121" t="s">
        <v>167</v>
      </c>
      <c r="B121" t="s">
        <v>293</v>
      </c>
      <c r="C121" s="2">
        <v>145349</v>
      </c>
      <c r="L121" t="str">
        <f t="shared" si="19"/>
        <v>Other</v>
      </c>
      <c r="M121" t="str">
        <f t="shared" si="20"/>
        <v>Other</v>
      </c>
      <c r="N121" t="str">
        <f t="shared" si="22"/>
        <v>Other</v>
      </c>
      <c r="O121" t="str">
        <f t="shared" si="23"/>
        <v>Other</v>
      </c>
      <c r="P121" t="str">
        <f t="shared" si="21"/>
        <v>Other</v>
      </c>
    </row>
    <row r="122" spans="1:16" x14ac:dyDescent="0.2">
      <c r="A122" t="s">
        <v>167</v>
      </c>
      <c r="B122" t="s">
        <v>294</v>
      </c>
      <c r="C122" s="2">
        <v>145349</v>
      </c>
      <c r="D122" t="s">
        <v>355</v>
      </c>
      <c r="L122" t="str">
        <f t="shared" si="19"/>
        <v>Other</v>
      </c>
      <c r="M122" t="str">
        <f t="shared" si="20"/>
        <v>Other</v>
      </c>
      <c r="N122" t="str">
        <f t="shared" si="22"/>
        <v>Other</v>
      </c>
      <c r="O122" t="str">
        <f t="shared" si="23"/>
        <v>Other</v>
      </c>
      <c r="P122" t="str">
        <f t="shared" si="21"/>
        <v>Other</v>
      </c>
    </row>
    <row r="123" spans="1:16" x14ac:dyDescent="0.2">
      <c r="A123" t="s">
        <v>167</v>
      </c>
      <c r="B123" t="s">
        <v>295</v>
      </c>
      <c r="C123" s="2">
        <v>145235</v>
      </c>
      <c r="L123" t="str">
        <f t="shared" si="19"/>
        <v>Other</v>
      </c>
      <c r="M123" t="str">
        <f t="shared" si="20"/>
        <v>Other</v>
      </c>
      <c r="N123" t="str">
        <f t="shared" si="22"/>
        <v>Other</v>
      </c>
      <c r="O123" t="str">
        <f t="shared" si="23"/>
        <v>Other</v>
      </c>
      <c r="P123" t="str">
        <f t="shared" si="21"/>
        <v>Other</v>
      </c>
    </row>
    <row r="124" spans="1:16" x14ac:dyDescent="0.2">
      <c r="A124" t="s">
        <v>167</v>
      </c>
      <c r="B124" t="s">
        <v>296</v>
      </c>
      <c r="C124" s="2">
        <v>145235</v>
      </c>
      <c r="L124" t="str">
        <f t="shared" si="19"/>
        <v>Other</v>
      </c>
      <c r="M124" t="str">
        <f t="shared" si="20"/>
        <v>Other</v>
      </c>
      <c r="N124" t="str">
        <f t="shared" si="22"/>
        <v>Other</v>
      </c>
      <c r="O124" t="str">
        <f t="shared" si="23"/>
        <v>Other</v>
      </c>
      <c r="P124" t="str">
        <f t="shared" si="21"/>
        <v>Other</v>
      </c>
    </row>
    <row r="125" spans="1:16" x14ac:dyDescent="0.2">
      <c r="A125" t="s">
        <v>167</v>
      </c>
      <c r="B125" t="s">
        <v>297</v>
      </c>
      <c r="C125" s="2">
        <v>145142</v>
      </c>
      <c r="L125" t="str">
        <f t="shared" si="19"/>
        <v>Other</v>
      </c>
      <c r="M125" t="str">
        <f t="shared" si="20"/>
        <v>Other</v>
      </c>
      <c r="N125" t="str">
        <f t="shared" si="22"/>
        <v>Other</v>
      </c>
      <c r="O125" t="str">
        <f t="shared" si="23"/>
        <v>Other</v>
      </c>
      <c r="P125" t="str">
        <f t="shared" si="21"/>
        <v>Other</v>
      </c>
    </row>
    <row r="126" spans="1:16" x14ac:dyDescent="0.2">
      <c r="A126" t="s">
        <v>167</v>
      </c>
      <c r="B126" t="s">
        <v>298</v>
      </c>
      <c r="C126" s="2">
        <v>145142</v>
      </c>
      <c r="L126" t="str">
        <f t="shared" si="19"/>
        <v>Other</v>
      </c>
      <c r="M126" t="str">
        <f t="shared" si="20"/>
        <v>Other</v>
      </c>
      <c r="N126" t="str">
        <f t="shared" si="22"/>
        <v>Other</v>
      </c>
      <c r="O126" t="str">
        <f t="shared" si="23"/>
        <v>Other</v>
      </c>
      <c r="P126" t="str">
        <f t="shared" si="21"/>
        <v>Other</v>
      </c>
    </row>
    <row r="127" spans="1:16" x14ac:dyDescent="0.2">
      <c r="A127" t="s">
        <v>147</v>
      </c>
      <c r="B127" t="s">
        <v>299</v>
      </c>
      <c r="C127" s="2">
        <v>145123</v>
      </c>
      <c r="D127" t="s">
        <v>355</v>
      </c>
      <c r="L127" t="str">
        <f t="shared" si="19"/>
        <v>Other</v>
      </c>
      <c r="M127" t="str">
        <f t="shared" si="20"/>
        <v>Licenciatura</v>
      </c>
      <c r="N127" t="str">
        <f t="shared" si="22"/>
        <v>Other</v>
      </c>
      <c r="O127" t="str">
        <f t="shared" si="23"/>
        <v>Other</v>
      </c>
      <c r="P127" t="str">
        <f t="shared" si="21"/>
        <v>Other</v>
      </c>
    </row>
    <row r="128" spans="1:16" x14ac:dyDescent="0.2">
      <c r="A128" t="s">
        <v>167</v>
      </c>
      <c r="B128" t="s">
        <v>168</v>
      </c>
      <c r="C128" s="2">
        <v>145123</v>
      </c>
      <c r="L128" t="str">
        <f t="shared" si="19"/>
        <v>Other</v>
      </c>
      <c r="M128" t="str">
        <f t="shared" si="20"/>
        <v>Other</v>
      </c>
      <c r="N128" t="str">
        <f t="shared" si="22"/>
        <v>Other</v>
      </c>
      <c r="O128" t="str">
        <f t="shared" si="23"/>
        <v>Other</v>
      </c>
      <c r="P128" t="str">
        <f t="shared" si="21"/>
        <v>Blog</v>
      </c>
    </row>
    <row r="129" spans="1:16" x14ac:dyDescent="0.2">
      <c r="A129" t="s">
        <v>153</v>
      </c>
      <c r="B129" t="s">
        <v>300</v>
      </c>
      <c r="C129" s="2">
        <v>145065</v>
      </c>
      <c r="D129" t="s">
        <v>355</v>
      </c>
      <c r="L129" t="str">
        <f t="shared" si="19"/>
        <v>Other</v>
      </c>
      <c r="M129" t="str">
        <f t="shared" si="20"/>
        <v>Other</v>
      </c>
      <c r="N129" t="str">
        <f t="shared" si="22"/>
        <v>Other</v>
      </c>
      <c r="O129" t="str">
        <f t="shared" si="23"/>
        <v>Other</v>
      </c>
      <c r="P129" t="str">
        <f t="shared" si="21"/>
        <v>Other</v>
      </c>
    </row>
    <row r="130" spans="1:16" x14ac:dyDescent="0.2">
      <c r="A130" t="s">
        <v>167</v>
      </c>
      <c r="B130" t="s">
        <v>301</v>
      </c>
      <c r="C130" s="2">
        <v>145065</v>
      </c>
      <c r="L130" t="str">
        <f t="shared" ref="L130:L146" si="24">IF(OR(ISNUMBER(SEARCH("maestria",B130))),"Maestría","Other")</f>
        <v>Other</v>
      </c>
      <c r="M130" t="str">
        <f t="shared" ref="M130:M146" si="25">IF(OR(ISNUMBER(SEARCH("licenciatura",B130))),"Licenciatura","Other")</f>
        <v>Other</v>
      </c>
      <c r="N130" t="str">
        <f t="shared" si="22"/>
        <v>Other</v>
      </c>
      <c r="O130" t="str">
        <f t="shared" si="23"/>
        <v>Other</v>
      </c>
      <c r="P130" t="str">
        <f t="shared" si="21"/>
        <v>Other</v>
      </c>
    </row>
    <row r="131" spans="1:16" x14ac:dyDescent="0.2">
      <c r="A131" t="s">
        <v>146</v>
      </c>
      <c r="B131" t="s">
        <v>302</v>
      </c>
      <c r="C131" s="2">
        <v>145030</v>
      </c>
      <c r="D131" t="s">
        <v>355</v>
      </c>
      <c r="L131" t="str">
        <f t="shared" si="24"/>
        <v>Maestría</v>
      </c>
      <c r="M131" t="str">
        <f t="shared" si="25"/>
        <v>Other</v>
      </c>
      <c r="N131" t="str">
        <f t="shared" si="22"/>
        <v>Other</v>
      </c>
      <c r="O131" t="str">
        <f t="shared" si="23"/>
        <v>Other</v>
      </c>
      <c r="P131" t="str">
        <f t="shared" si="21"/>
        <v>Other</v>
      </c>
    </row>
    <row r="132" spans="1:16" x14ac:dyDescent="0.2">
      <c r="A132" t="s">
        <v>167</v>
      </c>
      <c r="B132" t="s">
        <v>303</v>
      </c>
      <c r="C132" s="2">
        <v>145030</v>
      </c>
      <c r="L132" t="str">
        <f t="shared" si="24"/>
        <v>Other</v>
      </c>
      <c r="M132" t="str">
        <f t="shared" si="25"/>
        <v>Other</v>
      </c>
      <c r="N132" t="str">
        <f t="shared" si="22"/>
        <v>Other</v>
      </c>
      <c r="O132" t="str">
        <f t="shared" si="23"/>
        <v>Other</v>
      </c>
      <c r="P132" t="str">
        <f t="shared" si="21"/>
        <v>Other</v>
      </c>
    </row>
    <row r="133" spans="1:16" x14ac:dyDescent="0.2">
      <c r="A133" t="s">
        <v>167</v>
      </c>
      <c r="B133" t="s">
        <v>304</v>
      </c>
      <c r="C133" s="2">
        <v>144991</v>
      </c>
      <c r="L133" t="str">
        <f t="shared" si="24"/>
        <v>Other</v>
      </c>
      <c r="M133" t="str">
        <f t="shared" si="25"/>
        <v>Other</v>
      </c>
      <c r="N133" t="str">
        <f t="shared" si="22"/>
        <v>Other</v>
      </c>
      <c r="O133" t="str">
        <f t="shared" si="23"/>
        <v>Other</v>
      </c>
      <c r="P133" t="str">
        <f t="shared" si="21"/>
        <v>Other</v>
      </c>
    </row>
    <row r="134" spans="1:16" x14ac:dyDescent="0.2">
      <c r="A134" t="s">
        <v>167</v>
      </c>
      <c r="B134" t="s">
        <v>305</v>
      </c>
      <c r="C134" s="2">
        <v>144991</v>
      </c>
      <c r="L134" t="str">
        <f t="shared" si="24"/>
        <v>Other</v>
      </c>
      <c r="M134" t="str">
        <f t="shared" si="25"/>
        <v>Other</v>
      </c>
      <c r="N134" t="str">
        <f t="shared" si="22"/>
        <v>Other</v>
      </c>
      <c r="O134" t="str">
        <f t="shared" si="23"/>
        <v>Other</v>
      </c>
      <c r="P134" t="str">
        <f t="shared" si="21"/>
        <v>Blog</v>
      </c>
    </row>
    <row r="135" spans="1:16" x14ac:dyDescent="0.2">
      <c r="A135" t="s">
        <v>167</v>
      </c>
      <c r="B135" t="s">
        <v>306</v>
      </c>
      <c r="C135" s="2">
        <v>144986</v>
      </c>
      <c r="L135" t="str">
        <f t="shared" si="24"/>
        <v>Other</v>
      </c>
      <c r="M135" t="str">
        <f t="shared" si="25"/>
        <v>Other</v>
      </c>
      <c r="N135" t="str">
        <f t="shared" si="22"/>
        <v>Other</v>
      </c>
      <c r="O135" t="str">
        <f t="shared" si="23"/>
        <v>Other</v>
      </c>
      <c r="P135" t="str">
        <f t="shared" si="21"/>
        <v>Other</v>
      </c>
    </row>
    <row r="136" spans="1:16" x14ac:dyDescent="0.2">
      <c r="A136" t="s">
        <v>167</v>
      </c>
      <c r="B136" t="s">
        <v>307</v>
      </c>
      <c r="C136" s="2">
        <v>144986</v>
      </c>
      <c r="L136" t="str">
        <f t="shared" si="24"/>
        <v>Other</v>
      </c>
      <c r="M136" t="str">
        <f t="shared" si="25"/>
        <v>Other</v>
      </c>
      <c r="N136" t="str">
        <f t="shared" si="22"/>
        <v>Other</v>
      </c>
      <c r="O136" t="str">
        <f t="shared" si="23"/>
        <v>Other</v>
      </c>
      <c r="P136" t="str">
        <f t="shared" si="21"/>
        <v>Other</v>
      </c>
    </row>
    <row r="137" spans="1:16" x14ac:dyDescent="0.2">
      <c r="A137" t="s">
        <v>167</v>
      </c>
      <c r="B137" t="s">
        <v>308</v>
      </c>
      <c r="C137" s="2">
        <v>144942</v>
      </c>
      <c r="L137" t="str">
        <f t="shared" si="24"/>
        <v>Other</v>
      </c>
      <c r="M137" t="str">
        <f t="shared" si="25"/>
        <v>Other</v>
      </c>
      <c r="N137" t="str">
        <f t="shared" si="22"/>
        <v>Other</v>
      </c>
      <c r="O137" t="str">
        <f t="shared" si="23"/>
        <v>Other</v>
      </c>
      <c r="P137" t="str">
        <f t="shared" si="21"/>
        <v>Other</v>
      </c>
    </row>
    <row r="138" spans="1:16" x14ac:dyDescent="0.2">
      <c r="A138" t="s">
        <v>167</v>
      </c>
      <c r="B138" t="s">
        <v>309</v>
      </c>
      <c r="C138" s="2">
        <v>144942</v>
      </c>
      <c r="L138" t="str">
        <f t="shared" si="24"/>
        <v>Other</v>
      </c>
      <c r="M138" t="str">
        <f t="shared" si="25"/>
        <v>Other</v>
      </c>
      <c r="N138" t="str">
        <f t="shared" si="22"/>
        <v>Other</v>
      </c>
      <c r="O138" t="str">
        <f t="shared" si="23"/>
        <v>Other</v>
      </c>
      <c r="P138" t="str">
        <f t="shared" si="21"/>
        <v>Other</v>
      </c>
    </row>
    <row r="139" spans="1:16" x14ac:dyDescent="0.2">
      <c r="A139" t="s">
        <v>167</v>
      </c>
      <c r="B139" t="s">
        <v>310</v>
      </c>
      <c r="C139" s="2">
        <v>144933</v>
      </c>
      <c r="L139" t="str">
        <f t="shared" si="24"/>
        <v>Other</v>
      </c>
      <c r="M139" t="str">
        <f t="shared" si="25"/>
        <v>Other</v>
      </c>
      <c r="N139" t="str">
        <f t="shared" si="22"/>
        <v>Other</v>
      </c>
      <c r="O139" t="str">
        <f t="shared" si="23"/>
        <v>Other</v>
      </c>
      <c r="P139" t="str">
        <f t="shared" si="21"/>
        <v>Other</v>
      </c>
    </row>
    <row r="140" spans="1:16" x14ac:dyDescent="0.2">
      <c r="A140" t="s">
        <v>167</v>
      </c>
      <c r="B140" t="s">
        <v>311</v>
      </c>
      <c r="C140" s="2">
        <v>144933</v>
      </c>
      <c r="L140" t="str">
        <f t="shared" si="24"/>
        <v>Other</v>
      </c>
      <c r="M140" t="str">
        <f t="shared" si="25"/>
        <v>Other</v>
      </c>
      <c r="N140" t="str">
        <f t="shared" si="22"/>
        <v>Other</v>
      </c>
      <c r="O140" t="str">
        <f t="shared" si="23"/>
        <v>Other</v>
      </c>
    </row>
    <row r="141" spans="1:16" x14ac:dyDescent="0.2">
      <c r="A141" t="s">
        <v>167</v>
      </c>
      <c r="B141" t="s">
        <v>312</v>
      </c>
      <c r="C141" s="2">
        <v>144888</v>
      </c>
      <c r="L141" t="str">
        <f t="shared" si="24"/>
        <v>Other</v>
      </c>
      <c r="M141" t="str">
        <f t="shared" si="25"/>
        <v>Other</v>
      </c>
      <c r="N141" t="str">
        <f t="shared" si="22"/>
        <v>Other</v>
      </c>
      <c r="O141" t="str">
        <f t="shared" si="23"/>
        <v>Other</v>
      </c>
      <c r="P141" t="str">
        <f>IF(OR(ISNUMBER(SEARCH("category",B141))),"Blog","Other")</f>
        <v>Other</v>
      </c>
    </row>
    <row r="142" spans="1:16" x14ac:dyDescent="0.2">
      <c r="A142" t="s">
        <v>167</v>
      </c>
      <c r="B142" t="s">
        <v>313</v>
      </c>
      <c r="C142" s="2">
        <v>144888</v>
      </c>
      <c r="L142" t="str">
        <f t="shared" si="24"/>
        <v>Other</v>
      </c>
      <c r="M142" t="str">
        <f t="shared" si="25"/>
        <v>Other</v>
      </c>
      <c r="N142" t="str">
        <f t="shared" si="22"/>
        <v>Other</v>
      </c>
      <c r="O142" t="str">
        <f t="shared" si="23"/>
        <v>Other</v>
      </c>
    </row>
    <row r="143" spans="1:16" x14ac:dyDescent="0.2">
      <c r="A143" t="s">
        <v>167</v>
      </c>
      <c r="B143" t="s">
        <v>314</v>
      </c>
      <c r="C143" s="2">
        <v>144762</v>
      </c>
      <c r="L143" t="str">
        <f t="shared" si="24"/>
        <v>Other</v>
      </c>
      <c r="M143" t="str">
        <f t="shared" si="25"/>
        <v>Other</v>
      </c>
      <c r="N143" s="1" t="s">
        <v>152</v>
      </c>
      <c r="O143" t="str">
        <f t="shared" si="23"/>
        <v>Other</v>
      </c>
      <c r="P143" t="str">
        <f>IF(OR(ISNUMBER(SEARCH("category",B143))),"Blog","Other")</f>
        <v>Other</v>
      </c>
    </row>
    <row r="144" spans="1:16" x14ac:dyDescent="0.2">
      <c r="A144" t="s">
        <v>167</v>
      </c>
      <c r="B144" t="s">
        <v>315</v>
      </c>
      <c r="C144" s="2">
        <v>144762</v>
      </c>
      <c r="L144" t="str">
        <f t="shared" si="24"/>
        <v>Other</v>
      </c>
      <c r="M144" t="str">
        <f t="shared" si="25"/>
        <v>Other</v>
      </c>
      <c r="N144" t="str">
        <f>IF(OR(ISNUMBER(SEARCH("conflictos",B144))),"conflictos","Other")</f>
        <v>Other</v>
      </c>
      <c r="O144" t="str">
        <f t="shared" si="23"/>
        <v>Other</v>
      </c>
      <c r="P144" s="1" t="str">
        <f>IF(OR(ISNUMBER(SEARCH("category",B144))),"Blog","Other")</f>
        <v>Other</v>
      </c>
    </row>
    <row r="145" spans="1:16" x14ac:dyDescent="0.2">
      <c r="A145" t="s">
        <v>167</v>
      </c>
      <c r="B145" t="s">
        <v>316</v>
      </c>
      <c r="C145" s="2">
        <v>144756</v>
      </c>
      <c r="L145" t="str">
        <f t="shared" si="24"/>
        <v>Other</v>
      </c>
      <c r="M145" t="str">
        <f t="shared" si="25"/>
        <v>Other</v>
      </c>
      <c r="N145" t="str">
        <f>IF(OR(ISNUMBER(SEARCH("conflictos",B145))),"conflictos","Other")</f>
        <v>Other</v>
      </c>
      <c r="O145" t="str">
        <f t="shared" si="23"/>
        <v>Other</v>
      </c>
      <c r="P145" s="1" t="str">
        <f>IF(OR(ISNUMBER(SEARCH("category",B145))),"Blog","Other")</f>
        <v>Other</v>
      </c>
    </row>
    <row r="146" spans="1:16" x14ac:dyDescent="0.2">
      <c r="A146" t="s">
        <v>167</v>
      </c>
      <c r="B146" t="s">
        <v>317</v>
      </c>
      <c r="C146" s="2">
        <v>144756</v>
      </c>
      <c r="L146" t="str">
        <f t="shared" si="24"/>
        <v>Other</v>
      </c>
      <c r="M146" t="str">
        <f t="shared" si="25"/>
        <v>Other</v>
      </c>
      <c r="N146" t="str">
        <f>IF(OR(ISNUMBER(SEARCH("conflictos",B146))),"conflictos","Other")</f>
        <v>Other</v>
      </c>
      <c r="O146" t="str">
        <f t="shared" si="23"/>
        <v>Other</v>
      </c>
      <c r="P146" t="str">
        <f>IF(OR(ISNUMBER(SEARCH("category",B146))),"Blog","Other")</f>
        <v>Other</v>
      </c>
    </row>
  </sheetData>
  <autoFilter ref="B1:D146" xr:uid="{0D9A0010-BA14-FD40-8677-D961E9FDD9F1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url_sizes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 Avila Sanabria</dc:creator>
  <cp:lastModifiedBy>Abraham Avila Sanabria</cp:lastModifiedBy>
  <dcterms:created xsi:type="dcterms:W3CDTF">2024-05-30T17:45:54Z</dcterms:created>
  <dcterms:modified xsi:type="dcterms:W3CDTF">2024-06-03T17:33:48Z</dcterms:modified>
</cp:coreProperties>
</file>